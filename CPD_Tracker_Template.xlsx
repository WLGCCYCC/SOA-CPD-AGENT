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PD Log" sheetId="1" state="visible" r:id="rId3"/>
    <sheet name="Dashboard" sheetId="2" state="visible" r:id="rId4"/>
    <sheet name="CPD Rules Reference" sheetId="3" state="visible" r:id="rId5"/>
    <sheet name="Free CPD Libr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<sst xmlns="http://schemas.openxmlformats.org/spreadsheetml/2006/main" count="336" uniqueCount="152">
  <si>
    <t xml:space="preserve">CPD Activity Log  —  Shawn Yu</t>
  </si>
  <si>
    <t xml:space="preserve">Date</t>
  </si>
  <si>
    <t xml:space="preserve">Activity Description</t>
  </si>
  <si>
    <t xml:space="preserve">Provider / Source</t>
  </si>
  <si>
    <t xml:space="preserve">Type
(Guided / Self-Study)</t>
  </si>
  <si>
    <t xml:space="preserve">Category
(Technical / Prof. / Other)</t>
  </si>
  <si>
    <t xml:space="preserve">Hours</t>
  </si>
  <si>
    <t xml:space="preserve">Professionalism?
(Y/N)</t>
  </si>
  <si>
    <t xml:space="preserve">CIA Compliant?
(Y/N)</t>
  </si>
  <si>
    <t xml:space="preserve">Notes</t>
  </si>
  <si>
    <t xml:space="preserve">Logged By Agent?
(Y/N)</t>
  </si>
  <si>
    <t xml:space="preserve">2025-05-28</t>
  </si>
  <si>
    <t xml:space="preserve">USNT PT% Deep Div Training</t>
  </si>
  <si>
    <t xml:space="preserve">Meeting</t>
  </si>
  <si>
    <t xml:space="preserve">Guided</t>
  </si>
  <si>
    <t xml:space="preserve">Technical</t>
  </si>
  <si>
    <t xml:space="preserve">N</t>
  </si>
  <si>
    <t xml:space="preserve">Y</t>
  </si>
  <si>
    <t xml:space="preserve">2025-05-29</t>
  </si>
  <si>
    <t xml:space="preserve">USNT VUL OCI Deep Div</t>
  </si>
  <si>
    <t xml:space="preserve">2025-06-10</t>
  </si>
  <si>
    <t xml:space="preserve">USNT Deep Dive ModCo Reporting</t>
  </si>
  <si>
    <t xml:space="preserve">2025-08-07</t>
  </si>
  <si>
    <t xml:space="preserve">GainWave: A Python Tool for Basis Change — https://mfc.sharepoint.com/sites/AMC/SitePages/GainWave--A-Python-Tool-for.aspx</t>
  </si>
  <si>
    <t xml:space="preserve">2025-08-13</t>
  </si>
  <si>
    <t xml:space="preserve">AAC &amp; Ledger Backfeeds</t>
  </si>
  <si>
    <t xml:space="preserve">Segfund Product Pricing Report 2024</t>
  </si>
  <si>
    <t xml:space="preserve">Reading</t>
  </si>
  <si>
    <t xml:space="preserve">Self-Study</t>
  </si>
  <si>
    <t xml:space="preserve">2025-08-27</t>
  </si>
  <si>
    <t xml:space="preserve">Canadian Segfund Training</t>
  </si>
  <si>
    <t xml:space="preserve">Speaker: Leon Li | Location: Toronto</t>
  </si>
  <si>
    <t xml:space="preserve">2025-08-28</t>
  </si>
  <si>
    <t xml:space="preserve">Video Training on Segfund</t>
  </si>
  <si>
    <t xml:space="preserve">eLearning</t>
  </si>
  <si>
    <t xml:space="preserve">2025-10-03</t>
  </si>
  <si>
    <t xml:space="preserve">Looking Back — Moving Forward: Entrepreneurship in the Actuarial Profession Topic Call "</t>
  </si>
  <si>
    <t xml:space="preserve">Society of Actuaries</t>
  </si>
  <si>
    <t xml:space="preserve">Mortality by Socioeconomic Decile Webcast</t>
  </si>
  <si>
    <t xml:space="preserve">Speaker: "Clark | Location: Kara;Barbieri</t>
  </si>
  <si>
    <t xml:space="preserve">Understanding Bias in Actuarial Data-Driven Decision Making Webcast</t>
  </si>
  <si>
    <t xml:space="preserve">Speaker: "Creighton | Location: Kaitlin;Huang</t>
  </si>
  <si>
    <t xml:space="preserve">2025-10-29</t>
  </si>
  <si>
    <t xml:space="preserve">LICAT25 Risk Capital Training</t>
  </si>
  <si>
    <t xml:space="preserve">Monthly Pricing Meeting - Training on LICAT</t>
  </si>
  <si>
    <t xml:space="preserve">Location: Toronto</t>
  </si>
  <si>
    <t xml:space="preserve">2025-11-07</t>
  </si>
  <si>
    <t xml:space="preserve">Behind The Claim: Long-Term Care Caregiving Webcast</t>
  </si>
  <si>
    <t xml:space="preserve">Speaker: "Iwatsubo | Location: William;Sheahon</t>
  </si>
  <si>
    <t xml:space="preserve">2025-11-10</t>
  </si>
  <si>
    <t xml:space="preserve">The Actuary as an Arbitrator Webcast</t>
  </si>
  <si>
    <t xml:space="preserve">Speaker: "Fann | Location: Gregory;Miller</t>
  </si>
  <si>
    <t xml:space="preserve">2025-11-11</t>
  </si>
  <si>
    <t xml:space="preserve">POVA 2025 - Day 1</t>
  </si>
  <si>
    <t xml:space="preserve">2025-11-12</t>
  </si>
  <si>
    <t xml:space="preserve">POVA 2025 - Day 2</t>
  </si>
  <si>
    <t xml:space="preserve">2025-12-11</t>
  </si>
  <si>
    <t xml:space="preserve">Training on Canadian Seg Fund Pricing - Monthly Pricing Meeting</t>
  </si>
  <si>
    <t xml:space="preserve">2026-01-08</t>
  </si>
  <si>
    <t xml:space="preserve">Monthly Pricing Meeting - Training on Par and Pricing Review</t>
  </si>
  <si>
    <t xml:space="preserve">2026-01-31</t>
  </si>
  <si>
    <t xml:space="preserve">Financial Intelligence</t>
  </si>
  <si>
    <t xml:space="preserve">2026-03-12</t>
  </si>
  <si>
    <t xml:space="preserve">March 2026 Monthly Pricing Meeting — Monthly Pricing Meeting with Presentation regarding Insurance and Annuity Compensation Structure</t>
  </si>
  <si>
    <t xml:space="preserve">Location: Waterloo</t>
  </si>
  <si>
    <t xml:space="preserve">2026-03-31</t>
  </si>
  <si>
    <t xml:space="preserve">Book Psychology of Money</t>
  </si>
  <si>
    <t xml:space="preserve">Book How to Win Friends &amp; Influence People</t>
  </si>
  <si>
    <t xml:space="preserve">2026-04-09</t>
  </si>
  <si>
    <t xml:space="preserve">Product Risk Management Training - Monthly Pricing Meeting</t>
  </si>
  <si>
    <t xml:space="preserve">2026-04-30</t>
  </si>
  <si>
    <t xml:space="preserve">Book The Innovator's Dilemma</t>
  </si>
  <si>
    <t xml:space="preserve">Book Bold Move</t>
  </si>
  <si>
    <t xml:space="preserve">2026-05-06</t>
  </si>
  <si>
    <t xml:space="preserve">Shariah-Compliant Finance: Concepts and Governance</t>
  </si>
  <si>
    <t xml:space="preserve">2026-05-08</t>
  </si>
  <si>
    <t xml:space="preserve">AI Agent Introduction</t>
  </si>
  <si>
    <t xml:space="preserve">2026-05-09</t>
  </si>
  <si>
    <t xml:space="preserve">Book: Start with Why</t>
  </si>
  <si>
    <t xml:space="preserve">CPD Progress Dashboard  —  Shawn Yu</t>
  </si>
  <si>
    <t xml:space="preserve">CIA Qualification Standard  |  Rolling Two-Year Window</t>
  </si>
  <si>
    <t xml:space="preserve">Metric</t>
  </si>
  <si>
    <t xml:space="preserve">Your Total</t>
  </si>
  <si>
    <t xml:space="preserve">Minimum Required</t>
  </si>
  <si>
    <t xml:space="preserve">Status</t>
  </si>
  <si>
    <t xml:space="preserve">CIA CPD Requirements (Two-Year Rolling Window)</t>
  </si>
  <si>
    <t xml:space="preserve">Total Hours (Guided + Self-Study)</t>
  </si>
  <si>
    <t xml:space="preserve">80 hrs</t>
  </si>
  <si>
    <t xml:space="preserve">Guided CPD Hours</t>
  </si>
  <si>
    <t xml:space="preserve">30 hrs min</t>
  </si>
  <si>
    <t xml:space="preserve">Self-Study Hours</t>
  </si>
  <si>
    <t xml:space="preserve">No min</t>
  </si>
  <si>
    <t xml:space="preserve">—</t>
  </si>
  <si>
    <t xml:space="preserve">Professionalism Hours</t>
  </si>
  <si>
    <t xml:space="preserve">Check CIA</t>
  </si>
  <si>
    <t xml:space="preserve">Hours Still Needed</t>
  </si>
  <si>
    <t xml:space="preserve">Total Hours Still Needed</t>
  </si>
  <si>
    <t xml:space="preserve">Target: 80 hrs</t>
  </si>
  <si>
    <t xml:space="preserve">Guided Hours Still Needed</t>
  </si>
  <si>
    <t xml:space="preserve">Minimum: 30 hrs</t>
  </si>
  <si>
    <t xml:space="preserve">SOA Compliance Note</t>
  </si>
  <si>
    <t xml:space="preserve">✓  Meeting CIA requirements automatically satisfies SOA CPD requirement for dual members.</t>
  </si>
  <si>
    <t xml:space="preserve">About</t>
  </si>
  <si>
    <t xml:space="preserve">Built by Shawn Yu, FSA  |  CPD Agent v1.0  |  For actuaries, by an actuary</t>
  </si>
  <si>
    <t xml:space="preserve">CIA CPD Rules — Quick Reference</t>
  </si>
  <si>
    <t xml:space="preserve">REQUIREMENT</t>
  </si>
  <si>
    <t xml:space="preserve">DETAIL</t>
  </si>
  <si>
    <t xml:space="preserve">Total Hours (2-year rolling)</t>
  </si>
  <si>
    <t xml:space="preserve">80 hours minimum (Guided + Self-Study combined)</t>
  </si>
  <si>
    <t xml:space="preserve">Guided CPD minimum</t>
  </si>
  <si>
    <t xml:space="preserve">30 hours minimum out of 80</t>
  </si>
  <si>
    <t xml:space="preserve">No minimum — counts toward the 80 hr total</t>
  </si>
  <si>
    <t xml:space="preserve">Professionalism</t>
  </si>
  <si>
    <t xml:space="preserve">Mandatory component — must include professionalism topics</t>
  </si>
  <si>
    <t xml:space="preserve">Reporting cycle</t>
  </si>
  <si>
    <t xml:space="preserve">Annual compliance statement required</t>
  </si>
  <si>
    <t xml:space="preserve">Record keeping</t>
  </si>
  <si>
    <t xml:space="preserve">Keep records for 5 years in case of audit</t>
  </si>
  <si>
    <t xml:space="preserve">SOA dual members</t>
  </si>
  <si>
    <t xml:space="preserve">CIA compliance = automatic SOA compliance</t>
  </si>
  <si>
    <t xml:space="preserve">WHAT COUNTS AS GUIDED?</t>
  </si>
  <si>
    <t xml:space="preserve">EXAMPLES</t>
  </si>
  <si>
    <t xml:space="preserve">Live webinars with Q&amp;A</t>
  </si>
  <si>
    <t xml:space="preserve">SOA/CIA webinars, industry presentations</t>
  </si>
  <si>
    <t xml:space="preserve">In-person seminars/conferences</t>
  </si>
  <si>
    <t xml:space="preserve">CIA Annual Meeting, SOA meetings</t>
  </si>
  <si>
    <t xml:space="preserve">Recorded webinars (CIA allows)</t>
  </si>
  <si>
    <t xml:space="preserve">Replays of sessions that had live Q&amp;A</t>
  </si>
  <si>
    <t xml:space="preserve">Employer-sponsored sessions</t>
  </si>
  <si>
    <t xml:space="preserve">Internal training with discussion/Q&amp;A</t>
  </si>
  <si>
    <t xml:space="preserve">WHAT COUNTS AS SELF-STUDY?</t>
  </si>
  <si>
    <t xml:space="preserve">Reading professional publications</t>
  </si>
  <si>
    <t xml:space="preserve">CIA/SOA newsletters, research papers</t>
  </si>
  <si>
    <t xml:space="preserve">Online courses (no live Q&amp;A)</t>
  </si>
  <si>
    <t xml:space="preserve">Self-paced e-learning modules</t>
  </si>
  <si>
    <t xml:space="preserve">Textbooks / technical reading</t>
  </si>
  <si>
    <t xml:space="preserve">IFRS 17 guides, actuarial standards</t>
  </si>
  <si>
    <t xml:space="preserve">Exam study (pre-fellowship)</t>
  </si>
  <si>
    <t xml:space="preserve">Study hours for actuarial exams</t>
  </si>
  <si>
    <t xml:space="preserve">Free CPD Library — Shared Resources</t>
  </si>
  <si>
    <t xml:space="preserve">Title</t>
  </si>
  <si>
    <t xml:space="preserve">Provider</t>
  </si>
  <si>
    <t xml:space="preserve">Type
(Guided/Self-Study)</t>
  </si>
  <si>
    <t xml:space="preserve">Link</t>
  </si>
  <si>
    <t xml:space="preserve">Topic Area</t>
  </si>
  <si>
    <t xml:space="preserve">Date Found</t>
  </si>
  <si>
    <t xml:space="preserve">SOA Free Webcast Series</t>
  </si>
  <si>
    <t xml:space="preserve">soa.org/professional-development/pd-edge</t>
  </si>
  <si>
    <t xml:space="preserve">2026-06-18</t>
  </si>
  <si>
    <t xml:space="preserve">CIA Professionalism Module</t>
  </si>
  <si>
    <t xml:space="preserve">CIA</t>
  </si>
  <si>
    <t xml:space="preserve">cia-ica.ca/professionalism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</si>
</sst>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475569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sz val="10"/>
      <color rgb="FF475569"/>
      <name val="Arial"/>
      <family val="0"/>
      <charset val="1"/>
    </font>
    <font>
      <b val="true"/>
      <sz val="11"/>
      <color rgb="FF1E293B"/>
      <name val="Arial"/>
      <family val="0"/>
      <charset val="1"/>
    </font>
    <font>
      <i val="true"/>
      <sz val="10"/>
      <color rgb="FF1D9E75"/>
      <name val="Arial"/>
      <family val="0"/>
      <charset val="1"/>
    </font>
    <font>
      <i val="true"/>
      <sz val="9"/>
      <color rgb="FF47556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3A6B"/>
        <bgColor rgb="FF1E293B"/>
      </patternFill>
    </fill>
    <fill>
      <patternFill patternType="solid">
        <fgColor rgb="FFE1F5EE"/>
        <bgColor rgb="FFF1F5F9"/>
      </patternFill>
    </fill>
    <fill>
      <patternFill patternType="solid">
        <fgColor rgb="FFFFFFFF"/>
        <bgColor rgb="FFF1F5F9"/>
      </patternFill>
    </fill>
    <fill>
      <patternFill patternType="solid">
        <fgColor rgb="FFF1F5F9"/>
        <bgColor rgb="FFE1F5EE"/>
      </patternFill>
    </fill>
    <fill>
      <patternFill patternType="solid">
        <fgColor rgb="FF1D9E75"/>
        <bgColor rgb="FF008080"/>
      </patternFill>
    </fill>
    <fill>
      <patternFill patternType="solid">
        <fgColor rgb="FFFAEEDA"/>
        <bgColor rgb="FFF1F5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EEDA"/>
      <rgbColor rgb="FFE1F5EE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B3A6B"/>
      <rgbColor rgb="FF1D9E75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5"/>
    <col collapsed="false" customWidth="true" hidden="false" outlineLevel="0" max="3" min="3" style="1" width="20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8"/>
    <col collapsed="false" customWidth="true" hidden="false" outlineLevel="0" max="8" min="7" style="1" width="12"/>
    <col collapsed="false" customWidth="true" hidden="false" outlineLevel="0" max="9" min="9" style="1" width="25"/>
    <col collapsed="false" customWidth="true" hidden="false" outlineLevel="0" max="10" min="10" style="1" width="14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42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customFormat="false" ht="18" hidden="false" customHeight="true" outlineLevel="0" collapsed="false">
      <c r="A3" s="4" t="s">
        <v>11</v>
      </c>
      <c r="B3" s="5" t="s">
        <v>12</v>
      </c>
      <c r="C3" s="5" t="s">
        <v>13</v>
      </c>
      <c r="D3" s="4" t="s">
        <v>14</v>
      </c>
      <c r="E3" s="4" t="s">
        <v>15</v>
      </c>
      <c r="F3" s="6" t="n">
        <v>1</v>
      </c>
      <c r="G3" s="4" t="s">
        <v>16</v>
      </c>
      <c r="H3" s="4" t="s">
        <v>17</v>
      </c>
      <c r="I3" s="5"/>
      <c r="J3" s="4" t="s">
        <v>17</v>
      </c>
    </row>
    <row r="4" customFormat="false" ht="18" hidden="false" customHeight="true" outlineLevel="0" collapsed="false">
      <c r="A4" s="4" t="s">
        <v>18</v>
      </c>
      <c r="B4" s="5" t="s">
        <v>19</v>
      </c>
      <c r="C4" s="5" t="s">
        <v>13</v>
      </c>
      <c r="D4" s="4" t="s">
        <v>14</v>
      </c>
      <c r="E4" s="4" t="s">
        <v>15</v>
      </c>
      <c r="F4" s="6" t="n">
        <v>1</v>
      </c>
      <c r="G4" s="4" t="s">
        <v>16</v>
      </c>
      <c r="H4" s="4" t="s">
        <v>17</v>
      </c>
      <c r="I4" s="5"/>
      <c r="J4" s="4" t="s">
        <v>17</v>
      </c>
    </row>
    <row r="5" customFormat="false" ht="18" hidden="false" customHeight="true" outlineLevel="0" collapsed="false">
      <c r="A5" s="4" t="s">
        <v>20</v>
      </c>
      <c r="B5" s="5" t="s">
        <v>21</v>
      </c>
      <c r="C5" s="5" t="s">
        <v>13</v>
      </c>
      <c r="D5" s="4" t="s">
        <v>14</v>
      </c>
      <c r="E5" s="4" t="s">
        <v>15</v>
      </c>
      <c r="F5" s="6" t="n">
        <v>1</v>
      </c>
      <c r="G5" s="4" t="s">
        <v>16</v>
      </c>
      <c r="H5" s="4" t="s">
        <v>17</v>
      </c>
      <c r="I5" s="5"/>
      <c r="J5" s="4" t="s">
        <v>17</v>
      </c>
    </row>
    <row r="6" customFormat="false" ht="18" hidden="false" customHeight="true" outlineLevel="0" collapsed="false">
      <c r="A6" s="4" t="s">
        <v>22</v>
      </c>
      <c r="B6" s="5" t="s">
        <v>23</v>
      </c>
      <c r="C6" s="5" t="s">
        <v>13</v>
      </c>
      <c r="D6" s="4" t="s">
        <v>14</v>
      </c>
      <c r="E6" s="4" t="s">
        <v>15</v>
      </c>
      <c r="F6" s="6" t="n">
        <v>1</v>
      </c>
      <c r="G6" s="4" t="s">
        <v>16</v>
      </c>
      <c r="H6" s="4" t="s">
        <v>17</v>
      </c>
      <c r="I6" s="5"/>
      <c r="J6" s="4" t="s">
        <v>17</v>
      </c>
    </row>
    <row r="7" customFormat="false" ht="18" hidden="false" customHeight="true" outlineLevel="0" collapsed="false">
      <c r="A7" s="4" t="s">
        <v>24</v>
      </c>
      <c r="B7" s="5" t="s">
        <v>25</v>
      </c>
      <c r="C7" s="5" t="s">
        <v>13</v>
      </c>
      <c r="D7" s="4" t="s">
        <v>14</v>
      </c>
      <c r="E7" s="4" t="s">
        <v>15</v>
      </c>
      <c r="F7" s="6" t="n">
        <v>1</v>
      </c>
      <c r="G7" s="4" t="s">
        <v>16</v>
      </c>
      <c r="H7" s="4" t="s">
        <v>17</v>
      </c>
      <c r="I7" s="5"/>
      <c r="J7" s="4" t="s">
        <v>17</v>
      </c>
    </row>
    <row r="8" customFormat="false" ht="18" hidden="false" customHeight="true" outlineLevel="0" collapsed="false">
      <c r="A8" s="7" t="s">
        <v>24</v>
      </c>
      <c r="B8" s="8" t="s">
        <v>26</v>
      </c>
      <c r="C8" s="8" t="s">
        <v>27</v>
      </c>
      <c r="D8" s="7" t="s">
        <v>28</v>
      </c>
      <c r="E8" s="7" t="s">
        <v>15</v>
      </c>
      <c r="F8" s="9" t="n">
        <v>4</v>
      </c>
      <c r="G8" s="7" t="s">
        <v>16</v>
      </c>
      <c r="H8" s="7" t="s">
        <v>17</v>
      </c>
      <c r="I8" s="8"/>
      <c r="J8" s="7" t="s">
        <v>17</v>
      </c>
    </row>
    <row r="9" customFormat="false" ht="18" hidden="false" customHeight="true" outlineLevel="0" collapsed="false">
      <c r="A9" s="4" t="s">
        <v>29</v>
      </c>
      <c r="B9" s="5" t="s">
        <v>30</v>
      </c>
      <c r="C9" s="5" t="s">
        <v>13</v>
      </c>
      <c r="D9" s="4" t="s">
        <v>14</v>
      </c>
      <c r="E9" s="4" t="s">
        <v>15</v>
      </c>
      <c r="F9" s="6" t="n">
        <v>4</v>
      </c>
      <c r="G9" s="4" t="s">
        <v>16</v>
      </c>
      <c r="H9" s="4" t="s">
        <v>17</v>
      </c>
      <c r="I9" s="5" t="s">
        <v>31</v>
      </c>
      <c r="J9" s="4" t="s">
        <v>17</v>
      </c>
    </row>
    <row r="10" customFormat="false" ht="18" hidden="false" customHeight="true" outlineLevel="0" collapsed="false">
      <c r="A10" s="7" t="s">
        <v>32</v>
      </c>
      <c r="B10" s="8" t="s">
        <v>33</v>
      </c>
      <c r="C10" s="8" t="s">
        <v>34</v>
      </c>
      <c r="D10" s="7" t="s">
        <v>28</v>
      </c>
      <c r="E10" s="7" t="s">
        <v>15</v>
      </c>
      <c r="F10" s="9" t="n">
        <v>11</v>
      </c>
      <c r="G10" s="7" t="s">
        <v>16</v>
      </c>
      <c r="H10" s="7" t="s">
        <v>17</v>
      </c>
      <c r="I10" s="8"/>
      <c r="J10" s="7" t="s">
        <v>17</v>
      </c>
    </row>
    <row r="11" customFormat="false" ht="18" hidden="false" customHeight="true" outlineLevel="0" collapsed="false">
      <c r="A11" s="7" t="s">
        <v>35</v>
      </c>
      <c r="B11" s="8" t="s">
        <v>36</v>
      </c>
      <c r="C11" s="8" t="s">
        <v>37</v>
      </c>
      <c r="D11" s="10" t="s">
        <v>28</v>
      </c>
      <c r="E11" s="7" t="s">
        <v>15</v>
      </c>
      <c r="F11" s="11" t="n">
        <v>1</v>
      </c>
      <c r="G11" s="7" t="s">
        <v>16</v>
      </c>
      <c r="H11" s="7" t="s">
        <v>17</v>
      </c>
      <c r="I11" s="8"/>
      <c r="J11" s="7" t="s">
        <v>17</v>
      </c>
    </row>
    <row r="12" customFormat="false" ht="18" hidden="false" customHeight="true" outlineLevel="0" collapsed="false">
      <c r="A12" s="4" t="s">
        <v>35</v>
      </c>
      <c r="B12" s="5" t="s">
        <v>38</v>
      </c>
      <c r="C12" s="5" t="s">
        <v>37</v>
      </c>
      <c r="D12" s="12" t="s">
        <v>14</v>
      </c>
      <c r="E12" s="4" t="s">
        <v>15</v>
      </c>
      <c r="F12" s="13" t="n">
        <v>1.25</v>
      </c>
      <c r="G12" s="4" t="s">
        <v>16</v>
      </c>
      <c r="H12" s="4" t="s">
        <v>17</v>
      </c>
      <c r="I12" s="5" t="s">
        <v>39</v>
      </c>
      <c r="J12" s="4" t="s">
        <v>17</v>
      </c>
    </row>
    <row r="13" customFormat="false" ht="18" hidden="false" customHeight="true" outlineLevel="0" collapsed="false">
      <c r="A13" s="4" t="s">
        <v>35</v>
      </c>
      <c r="B13" s="5" t="s">
        <v>40</v>
      </c>
      <c r="C13" s="5" t="s">
        <v>37</v>
      </c>
      <c r="D13" s="12" t="s">
        <v>14</v>
      </c>
      <c r="E13" s="4" t="s">
        <v>15</v>
      </c>
      <c r="F13" s="13" t="n">
        <v>1.25</v>
      </c>
      <c r="G13" s="4" t="s">
        <v>16</v>
      </c>
      <c r="H13" s="4" t="s">
        <v>17</v>
      </c>
      <c r="I13" s="5" t="s">
        <v>41</v>
      </c>
      <c r="J13" s="4" t="s">
        <v>17</v>
      </c>
    </row>
    <row r="14" customFormat="false" ht="18" hidden="false" customHeight="true" outlineLevel="0" collapsed="false">
      <c r="A14" s="4" t="s">
        <v>42</v>
      </c>
      <c r="B14" s="5" t="s">
        <v>43</v>
      </c>
      <c r="C14" s="5" t="s">
        <v>13</v>
      </c>
      <c r="D14" s="4" t="s">
        <v>14</v>
      </c>
      <c r="E14" s="4" t="s">
        <v>15</v>
      </c>
      <c r="F14" s="6" t="n">
        <v>1</v>
      </c>
      <c r="G14" s="4" t="s">
        <v>16</v>
      </c>
      <c r="H14" s="4" t="s">
        <v>17</v>
      </c>
      <c r="I14" s="5"/>
      <c r="J14" s="4" t="s">
        <v>17</v>
      </c>
    </row>
    <row r="15" customFormat="false" ht="18" hidden="false" customHeight="true" outlineLevel="0" collapsed="false">
      <c r="A15" s="4" t="s">
        <v>42</v>
      </c>
      <c r="B15" s="5" t="s">
        <v>44</v>
      </c>
      <c r="C15" s="5" t="s">
        <v>13</v>
      </c>
      <c r="D15" s="4" t="s">
        <v>14</v>
      </c>
      <c r="E15" s="4" t="s">
        <v>15</v>
      </c>
      <c r="F15" s="6" t="n">
        <v>2</v>
      </c>
      <c r="G15" s="4" t="s">
        <v>16</v>
      </c>
      <c r="H15" s="4" t="s">
        <v>17</v>
      </c>
      <c r="I15" s="5" t="s">
        <v>45</v>
      </c>
      <c r="J15" s="4" t="s">
        <v>17</v>
      </c>
    </row>
    <row r="16" customFormat="false" ht="18" hidden="false" customHeight="true" outlineLevel="0" collapsed="false">
      <c r="A16" s="4" t="s">
        <v>46</v>
      </c>
      <c r="B16" s="5" t="s">
        <v>47</v>
      </c>
      <c r="C16" s="5" t="s">
        <v>37</v>
      </c>
      <c r="D16" s="12" t="s">
        <v>14</v>
      </c>
      <c r="E16" s="4" t="s">
        <v>15</v>
      </c>
      <c r="F16" s="13" t="n">
        <v>1.5</v>
      </c>
      <c r="G16" s="4" t="s">
        <v>16</v>
      </c>
      <c r="H16" s="4" t="s">
        <v>17</v>
      </c>
      <c r="I16" s="5" t="s">
        <v>48</v>
      </c>
      <c r="J16" s="4" t="s">
        <v>17</v>
      </c>
    </row>
    <row r="17" customFormat="false" ht="18" hidden="false" customHeight="true" outlineLevel="0" collapsed="false">
      <c r="A17" s="4" t="s">
        <v>49</v>
      </c>
      <c r="B17" s="5" t="s">
        <v>50</v>
      </c>
      <c r="C17" s="5" t="s">
        <v>37</v>
      </c>
      <c r="D17" s="12" t="s">
        <v>14</v>
      </c>
      <c r="E17" s="4" t="s">
        <v>15</v>
      </c>
      <c r="F17" s="13" t="n">
        <v>1.5</v>
      </c>
      <c r="G17" s="4" t="s">
        <v>16</v>
      </c>
      <c r="H17" s="4" t="s">
        <v>17</v>
      </c>
      <c r="I17" s="5" t="s">
        <v>51</v>
      </c>
      <c r="J17" s="4" t="s">
        <v>17</v>
      </c>
    </row>
    <row r="18" customFormat="false" ht="18" hidden="false" customHeight="true" outlineLevel="0" collapsed="false">
      <c r="A18" s="4" t="s">
        <v>52</v>
      </c>
      <c r="B18" s="5" t="s">
        <v>53</v>
      </c>
      <c r="C18" s="5" t="s">
        <v>13</v>
      </c>
      <c r="D18" s="4" t="s">
        <v>14</v>
      </c>
      <c r="E18" s="4" t="s">
        <v>15</v>
      </c>
      <c r="F18" s="6" t="n">
        <v>6</v>
      </c>
      <c r="G18" s="4" t="s">
        <v>16</v>
      </c>
      <c r="H18" s="4" t="s">
        <v>17</v>
      </c>
      <c r="I18" s="5"/>
      <c r="J18" s="4" t="s">
        <v>17</v>
      </c>
    </row>
    <row r="19" customFormat="false" ht="18" hidden="false" customHeight="true" outlineLevel="0" collapsed="false">
      <c r="A19" s="4" t="s">
        <v>54</v>
      </c>
      <c r="B19" s="5" t="s">
        <v>55</v>
      </c>
      <c r="C19" s="5" t="s">
        <v>13</v>
      </c>
      <c r="D19" s="4" t="s">
        <v>14</v>
      </c>
      <c r="E19" s="4" t="s">
        <v>15</v>
      </c>
      <c r="F19" s="6" t="n">
        <v>6</v>
      </c>
      <c r="G19" s="4" t="s">
        <v>16</v>
      </c>
      <c r="H19" s="4" t="s">
        <v>17</v>
      </c>
      <c r="I19" s="5"/>
      <c r="J19" s="4" t="s">
        <v>17</v>
      </c>
    </row>
    <row r="20" customFormat="false" ht="18" hidden="false" customHeight="true" outlineLevel="0" collapsed="false">
      <c r="A20" s="4" t="s">
        <v>56</v>
      </c>
      <c r="B20" s="5" t="s">
        <v>57</v>
      </c>
      <c r="C20" s="5" t="s">
        <v>13</v>
      </c>
      <c r="D20" s="4" t="s">
        <v>14</v>
      </c>
      <c r="E20" s="4" t="s">
        <v>15</v>
      </c>
      <c r="F20" s="6" t="n">
        <v>2</v>
      </c>
      <c r="G20" s="4" t="s">
        <v>16</v>
      </c>
      <c r="H20" s="4" t="s">
        <v>17</v>
      </c>
      <c r="I20" s="5"/>
      <c r="J20" s="4" t="s">
        <v>17</v>
      </c>
    </row>
    <row r="21" customFormat="false" ht="18" hidden="false" customHeight="true" outlineLevel="0" collapsed="false">
      <c r="A21" s="4" t="s">
        <v>58</v>
      </c>
      <c r="B21" s="5" t="s">
        <v>59</v>
      </c>
      <c r="C21" s="5" t="s">
        <v>13</v>
      </c>
      <c r="D21" s="4" t="s">
        <v>14</v>
      </c>
      <c r="E21" s="4" t="s">
        <v>15</v>
      </c>
      <c r="F21" s="6" t="n">
        <v>2</v>
      </c>
      <c r="G21" s="4" t="s">
        <v>16</v>
      </c>
      <c r="H21" s="4" t="s">
        <v>17</v>
      </c>
      <c r="I21" s="5"/>
      <c r="J21" s="4" t="s">
        <v>17</v>
      </c>
    </row>
    <row r="22" customFormat="false" ht="18" hidden="false" customHeight="true" outlineLevel="0" collapsed="false">
      <c r="A22" s="7" t="s">
        <v>60</v>
      </c>
      <c r="B22" s="8" t="s">
        <v>61</v>
      </c>
      <c r="C22" s="8" t="s">
        <v>27</v>
      </c>
      <c r="D22" s="7" t="s">
        <v>28</v>
      </c>
      <c r="E22" s="7" t="s">
        <v>15</v>
      </c>
      <c r="F22" s="9" t="n">
        <v>5.83</v>
      </c>
      <c r="G22" s="7" t="s">
        <v>16</v>
      </c>
      <c r="H22" s="7" t="s">
        <v>17</v>
      </c>
      <c r="I22" s="8"/>
      <c r="J22" s="7" t="s">
        <v>17</v>
      </c>
    </row>
    <row r="23" customFormat="false" ht="18" hidden="false" customHeight="true" outlineLevel="0" collapsed="false">
      <c r="A23" s="4" t="s">
        <v>62</v>
      </c>
      <c r="B23" s="5" t="s">
        <v>63</v>
      </c>
      <c r="C23" s="5" t="s">
        <v>13</v>
      </c>
      <c r="D23" s="4" t="s">
        <v>14</v>
      </c>
      <c r="E23" s="4" t="s">
        <v>15</v>
      </c>
      <c r="F23" s="6" t="n">
        <v>2</v>
      </c>
      <c r="G23" s="4" t="s">
        <v>16</v>
      </c>
      <c r="H23" s="4" t="s">
        <v>17</v>
      </c>
      <c r="I23" s="5" t="s">
        <v>64</v>
      </c>
      <c r="J23" s="4" t="s">
        <v>17</v>
      </c>
    </row>
    <row r="24" customFormat="false" ht="18" hidden="false" customHeight="true" outlineLevel="0" collapsed="false">
      <c r="A24" s="7" t="s">
        <v>65</v>
      </c>
      <c r="B24" s="8" t="s">
        <v>66</v>
      </c>
      <c r="C24" s="8" t="s">
        <v>27</v>
      </c>
      <c r="D24" s="7" t="s">
        <v>28</v>
      </c>
      <c r="E24" s="7" t="s">
        <v>15</v>
      </c>
      <c r="F24" s="9" t="n">
        <v>5</v>
      </c>
      <c r="G24" s="7" t="s">
        <v>16</v>
      </c>
      <c r="H24" s="7" t="s">
        <v>17</v>
      </c>
      <c r="I24" s="8"/>
      <c r="J24" s="7" t="s">
        <v>17</v>
      </c>
    </row>
    <row r="25" customFormat="false" ht="18" hidden="false" customHeight="true" outlineLevel="0" collapsed="false">
      <c r="A25" s="7" t="s">
        <v>65</v>
      </c>
      <c r="B25" s="8" t="s">
        <v>67</v>
      </c>
      <c r="C25" s="8" t="s">
        <v>27</v>
      </c>
      <c r="D25" s="7" t="s">
        <v>28</v>
      </c>
      <c r="E25" s="7" t="s">
        <v>15</v>
      </c>
      <c r="F25" s="9" t="n">
        <v>6.67</v>
      </c>
      <c r="G25" s="7" t="s">
        <v>16</v>
      </c>
      <c r="H25" s="7" t="s">
        <v>17</v>
      </c>
      <c r="I25" s="8"/>
      <c r="J25" s="7" t="s">
        <v>17</v>
      </c>
    </row>
    <row r="26" customFormat="false" ht="18" hidden="false" customHeight="true" outlineLevel="0" collapsed="false">
      <c r="A26" s="4" t="s">
        <v>68</v>
      </c>
      <c r="B26" s="5" t="s">
        <v>69</v>
      </c>
      <c r="C26" s="5" t="s">
        <v>13</v>
      </c>
      <c r="D26" s="4" t="s">
        <v>14</v>
      </c>
      <c r="E26" s="4" t="s">
        <v>15</v>
      </c>
      <c r="F26" s="6" t="n">
        <v>2</v>
      </c>
      <c r="G26" s="4" t="s">
        <v>16</v>
      </c>
      <c r="H26" s="4" t="s">
        <v>17</v>
      </c>
      <c r="I26" s="5" t="s">
        <v>45</v>
      </c>
      <c r="J26" s="4" t="s">
        <v>17</v>
      </c>
    </row>
    <row r="27" customFormat="false" ht="18" hidden="false" customHeight="true" outlineLevel="0" collapsed="false">
      <c r="A27" s="7" t="s">
        <v>70</v>
      </c>
      <c r="B27" s="8" t="s">
        <v>71</v>
      </c>
      <c r="C27" s="8" t="s">
        <v>27</v>
      </c>
      <c r="D27" s="7" t="s">
        <v>28</v>
      </c>
      <c r="E27" s="7" t="s">
        <v>15</v>
      </c>
      <c r="F27" s="9" t="n">
        <v>5.83</v>
      </c>
      <c r="G27" s="7" t="s">
        <v>16</v>
      </c>
      <c r="H27" s="7" t="s">
        <v>17</v>
      </c>
      <c r="I27" s="8"/>
      <c r="J27" s="7" t="s">
        <v>17</v>
      </c>
    </row>
    <row r="28" customFormat="false" ht="18" hidden="false" customHeight="true" outlineLevel="0" collapsed="false">
      <c r="A28" s="7" t="s">
        <v>70</v>
      </c>
      <c r="B28" s="8" t="s">
        <v>72</v>
      </c>
      <c r="C28" s="8" t="s">
        <v>27</v>
      </c>
      <c r="D28" s="7" t="s">
        <v>28</v>
      </c>
      <c r="E28" s="7" t="s">
        <v>15</v>
      </c>
      <c r="F28" s="9" t="n">
        <v>6.67</v>
      </c>
      <c r="G28" s="7" t="s">
        <v>16</v>
      </c>
      <c r="H28" s="7" t="s">
        <v>17</v>
      </c>
      <c r="I28" s="8"/>
      <c r="J28" s="7" t="s">
        <v>17</v>
      </c>
    </row>
    <row r="29" customFormat="false" ht="18" hidden="false" customHeight="true" outlineLevel="0" collapsed="false">
      <c r="A29" s="4" t="s">
        <v>73</v>
      </c>
      <c r="B29" s="5" t="s">
        <v>74</v>
      </c>
      <c r="C29" s="5" t="s">
        <v>13</v>
      </c>
      <c r="D29" s="4" t="s">
        <v>14</v>
      </c>
      <c r="E29" s="4" t="s">
        <v>15</v>
      </c>
      <c r="F29" s="6" t="n">
        <v>1</v>
      </c>
      <c r="G29" s="4" t="s">
        <v>16</v>
      </c>
      <c r="H29" s="4" t="s">
        <v>17</v>
      </c>
      <c r="I29" s="5" t="s">
        <v>45</v>
      </c>
      <c r="J29" s="4" t="s">
        <v>17</v>
      </c>
    </row>
    <row r="30" customFormat="false" ht="18" hidden="false" customHeight="true" outlineLevel="0" collapsed="false">
      <c r="A30" s="4" t="s">
        <v>75</v>
      </c>
      <c r="B30" s="5" t="s">
        <v>76</v>
      </c>
      <c r="C30" s="5" t="s">
        <v>13</v>
      </c>
      <c r="D30" s="4" t="s">
        <v>14</v>
      </c>
      <c r="E30" s="4" t="s">
        <v>15</v>
      </c>
      <c r="F30" s="6" t="n">
        <v>1</v>
      </c>
      <c r="G30" s="4" t="s">
        <v>16</v>
      </c>
      <c r="H30" s="4" t="s">
        <v>17</v>
      </c>
      <c r="I30" s="5" t="s">
        <v>45</v>
      </c>
      <c r="J30" s="4" t="s">
        <v>17</v>
      </c>
    </row>
    <row r="31" customFormat="false" ht="18" hidden="false" customHeight="true" outlineLevel="0" collapsed="false">
      <c r="A31" s="7" t="s">
        <v>77</v>
      </c>
      <c r="B31" s="8" t="s">
        <v>78</v>
      </c>
      <c r="C31" s="8" t="s">
        <v>27</v>
      </c>
      <c r="D31" s="7" t="s">
        <v>28</v>
      </c>
      <c r="E31" s="7" t="s">
        <v>15</v>
      </c>
      <c r="F31" s="9" t="n">
        <v>5</v>
      </c>
      <c r="G31" s="7" t="s">
        <v>16</v>
      </c>
      <c r="H31" s="7" t="s">
        <v>17</v>
      </c>
      <c r="I31" s="8"/>
      <c r="J31" s="7" t="s">
        <v>17</v>
      </c>
    </row>
    <row r="32" customFormat="false" ht="15" hidden="false" customHeight="true" outlineLevel="0" collapsed="false">
      <c r="A32" s="14"/>
      <c r="B32" s="14"/>
      <c r="C32" s="14"/>
      <c r="D32" s="14"/>
      <c r="E32" s="14"/>
      <c r="F32" s="14"/>
      <c r="G32" s="14"/>
      <c r="H32" s="14"/>
      <c r="I32" s="14"/>
      <c r="J32" s="14"/>
    </row>
    <row r="33" customFormat="false" ht="15" hidden="false" customHeight="true" outlineLevel="0" collapsed="false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 customFormat="false" ht="15" hidden="false" customHeight="true" outlineLevel="0" collapsed="false">
      <c r="A34" s="14"/>
      <c r="B34" s="14"/>
      <c r="C34" s="14"/>
      <c r="D34" s="14"/>
      <c r="E34" s="14"/>
      <c r="F34" s="14"/>
      <c r="G34" s="14"/>
      <c r="H34" s="14"/>
      <c r="I34" s="14"/>
      <c r="J34" s="14"/>
    </row>
    <row r="35" customFormat="false" ht="15" hidden="false" customHeight="true" outlineLevel="0" collapsed="false">
      <c r="A35" s="14"/>
      <c r="B35" s="14"/>
      <c r="C35" s="14"/>
      <c r="D35" s="14"/>
      <c r="E35" s="14"/>
      <c r="F35" s="14"/>
      <c r="G35" s="14"/>
      <c r="H35" s="14"/>
      <c r="I35" s="14"/>
      <c r="J35" s="14"/>
    </row>
    <row r="36" customFormat="false" ht="15" hidden="false" customHeight="true" outlineLevel="0" collapsed="false">
      <c r="A36" s="14"/>
      <c r="B36" s="14"/>
      <c r="C36" s="14"/>
      <c r="D36" s="14"/>
      <c r="E36" s="14"/>
      <c r="F36" s="14"/>
      <c r="G36" s="14"/>
      <c r="H36" s="14"/>
      <c r="I36" s="14"/>
      <c r="J36" s="14"/>
    </row>
    <row r="37" customFormat="false" ht="15" hidden="false" customHeight="true" outlineLevel="0" collapsed="false">
      <c r="A37" s="14"/>
      <c r="B37" s="14"/>
      <c r="C37" s="14"/>
      <c r="D37" s="14"/>
      <c r="E37" s="14"/>
      <c r="F37" s="14"/>
      <c r="G37" s="14"/>
      <c r="H37" s="14"/>
      <c r="I37" s="14"/>
      <c r="J37" s="14"/>
    </row>
    <row r="38" customFormat="false" ht="15" hidden="false" customHeight="true" outlineLevel="0" collapsed="false">
      <c r="A38" s="14"/>
      <c r="B38" s="14"/>
      <c r="C38" s="14"/>
      <c r="D38" s="14"/>
      <c r="E38" s="14"/>
      <c r="F38" s="14"/>
      <c r="G38" s="14"/>
      <c r="H38" s="14"/>
      <c r="I38" s="14"/>
      <c r="J38" s="14"/>
    </row>
    <row r="39" customFormat="false" ht="15" hidden="false" customHeight="true" outlineLevel="0" collapsed="false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 customFormat="false" ht="15" hidden="false" customHeight="true" outlineLevel="0" collapsed="false">
      <c r="A40" s="14"/>
      <c r="B40" s="14"/>
      <c r="C40" s="14"/>
      <c r="D40" s="14"/>
      <c r="E40" s="14"/>
      <c r="F40" s="14"/>
      <c r="G40" s="14"/>
      <c r="H40" s="14"/>
      <c r="I40" s="14"/>
      <c r="J40" s="14"/>
    </row>
    <row r="41" customFormat="false" ht="15" hidden="false" customHeight="true" outlineLevel="0" collapsed="false">
      <c r="A41" s="14"/>
      <c r="B41" s="14"/>
      <c r="C41" s="14"/>
      <c r="D41" s="14"/>
      <c r="E41" s="14"/>
      <c r="F41" s="14"/>
      <c r="G41" s="14"/>
      <c r="H41" s="14"/>
      <c r="I41" s="14"/>
      <c r="J41" s="14"/>
    </row>
    <row r="42" customFormat="false" ht="15" hidden="false" customHeight="true" outlineLevel="0" collapsed="false">
      <c r="A42" s="14"/>
      <c r="B42" s="14"/>
      <c r="C42" s="14"/>
      <c r="D42" s="14"/>
      <c r="E42" s="14"/>
      <c r="F42" s="14"/>
      <c r="G42" s="14"/>
      <c r="H42" s="14"/>
      <c r="I42" s="14"/>
      <c r="J42" s="14"/>
    </row>
    <row r="43" customFormat="false" ht="15" hidden="false" customHeight="true" outlineLevel="0" collapsed="false">
      <c r="A43" s="14"/>
      <c r="B43" s="14"/>
      <c r="C43" s="14"/>
      <c r="D43" s="14"/>
      <c r="E43" s="14"/>
      <c r="F43" s="14"/>
      <c r="G43" s="14"/>
      <c r="H43" s="14"/>
      <c r="I43" s="14"/>
      <c r="J43" s="14"/>
    </row>
    <row r="44" customFormat="false" ht="15" hidden="false" customHeight="true" outlineLevel="0" collapsed="false">
      <c r="A44" s="14"/>
      <c r="B44" s="14"/>
      <c r="C44" s="14"/>
      <c r="D44" s="14"/>
      <c r="E44" s="14"/>
      <c r="F44" s="14"/>
      <c r="G44" s="14"/>
      <c r="H44" s="14"/>
      <c r="I44" s="14"/>
      <c r="J44" s="14"/>
    </row>
    <row r="45" customFormat="false" ht="15" hidden="false" customHeight="true" outlineLevel="0" collapsed="false">
      <c r="A45" s="14"/>
      <c r="B45" s="14"/>
      <c r="C45" s="14"/>
      <c r="D45" s="14"/>
      <c r="E45" s="14"/>
      <c r="F45" s="14"/>
      <c r="G45" s="14"/>
      <c r="H45" s="14"/>
      <c r="I45" s="14"/>
      <c r="J45" s="14"/>
    </row>
    <row r="46" customFormat="false" ht="15" hidden="false" customHeight="true" outlineLevel="0" collapsed="false">
      <c r="A46" s="14"/>
      <c r="B46" s="14"/>
      <c r="C46" s="14"/>
      <c r="D46" s="14"/>
      <c r="E46" s="14"/>
      <c r="F46" s="14"/>
      <c r="G46" s="14"/>
      <c r="H46" s="14"/>
      <c r="I46" s="14"/>
      <c r="J46" s="14"/>
    </row>
    <row r="47" customFormat="false" ht="15" hidden="false" customHeight="true" outlineLevel="0" collapsed="false">
      <c r="A47" s="14"/>
      <c r="B47" s="14"/>
      <c r="C47" s="14"/>
      <c r="D47" s="14"/>
      <c r="E47" s="14"/>
      <c r="F47" s="14"/>
      <c r="G47" s="14"/>
      <c r="H47" s="14"/>
      <c r="I47" s="14"/>
      <c r="J47" s="14"/>
    </row>
    <row r="48" customFormat="false" ht="15" hidden="false" customHeight="true" outlineLevel="0" collapsed="false">
      <c r="A48" s="14"/>
      <c r="B48" s="14"/>
      <c r="C48" s="14"/>
      <c r="D48" s="14"/>
      <c r="E48" s="14"/>
      <c r="F48" s="14"/>
      <c r="G48" s="14"/>
      <c r="H48" s="14"/>
      <c r="I48" s="14"/>
      <c r="J48" s="14"/>
    </row>
    <row r="49" customFormat="false" ht="15" hidden="false" customHeight="true" outlineLevel="0" collapsed="false">
      <c r="A49" s="14"/>
      <c r="B49" s="14"/>
      <c r="C49" s="14"/>
      <c r="D49" s="14"/>
      <c r="E49" s="14"/>
      <c r="F49" s="14"/>
      <c r="G49" s="14"/>
      <c r="H49" s="14"/>
      <c r="I49" s="14"/>
      <c r="J49" s="14"/>
    </row>
    <row r="50" customFormat="false" ht="15" hidden="false" customHeight="true" outlineLevel="0" collapsed="false">
      <c r="A50" s="14"/>
      <c r="B50" s="14"/>
      <c r="C50" s="14"/>
      <c r="D50" s="14"/>
      <c r="E50" s="14"/>
      <c r="F50" s="14"/>
      <c r="G50" s="14"/>
      <c r="H50" s="14"/>
      <c r="I50" s="14"/>
      <c r="J50" s="14"/>
    </row>
    <row r="51" customFormat="false" ht="15" hidden="false" customHeight="true" outlineLevel="0" collapsed="false">
      <c r="A51" s="14"/>
      <c r="B51" s="14"/>
      <c r="C51" s="14"/>
      <c r="D51" s="14"/>
      <c r="E51" s="14"/>
      <c r="F51" s="14"/>
      <c r="G51" s="14"/>
      <c r="H51" s="14"/>
      <c r="I51" s="14"/>
      <c r="J51" s="14"/>
    </row>
    <row r="52" customFormat="false" ht="15" hidden="false" customHeight="true" outlineLevel="0" collapsed="false">
      <c r="A52" s="14"/>
      <c r="B52" s="14"/>
      <c r="C52" s="14"/>
      <c r="D52" s="14"/>
      <c r="E52" s="14"/>
      <c r="F52" s="14"/>
      <c r="G52" s="14"/>
      <c r="H52" s="14"/>
      <c r="I52" s="14"/>
      <c r="J52" s="14"/>
    </row>
    <row r="53" customFormat="false" ht="15" hidden="false" customHeight="true" outlineLevel="0" collapsed="false">
      <c r="A53" s="14"/>
      <c r="B53" s="14"/>
      <c r="C53" s="14"/>
      <c r="D53" s="14"/>
      <c r="E53" s="14"/>
      <c r="F53" s="14"/>
      <c r="G53" s="14"/>
      <c r="H53" s="14"/>
      <c r="I53" s="14"/>
      <c r="J53" s="14"/>
    </row>
    <row r="54" customFormat="false" ht="15" hidden="false" customHeight="true" outlineLevel="0" collapsed="false">
      <c r="A54" s="14"/>
      <c r="B54" s="14"/>
      <c r="C54" s="14"/>
      <c r="D54" s="14"/>
      <c r="E54" s="14"/>
      <c r="F54" s="14"/>
      <c r="G54" s="14"/>
      <c r="H54" s="14"/>
      <c r="I54" s="14"/>
      <c r="J54" s="14"/>
    </row>
    <row r="55" customFormat="false" ht="15" hidden="false" customHeight="true" outlineLevel="0" collapsed="false">
      <c r="A55" s="14"/>
      <c r="B55" s="14"/>
      <c r="C55" s="14"/>
      <c r="D55" s="14"/>
      <c r="E55" s="14"/>
      <c r="F55" s="14"/>
      <c r="G55" s="14"/>
      <c r="H55" s="14"/>
      <c r="I55" s="14"/>
      <c r="J55" s="14"/>
    </row>
    <row r="56" customFormat="false" ht="15" hidden="false" customHeight="true" outlineLevel="0" collapsed="false">
      <c r="A56" s="14"/>
      <c r="B56" s="14"/>
      <c r="C56" s="14"/>
      <c r="D56" s="14"/>
      <c r="E56" s="14"/>
      <c r="F56" s="14"/>
      <c r="G56" s="14"/>
      <c r="H56" s="14"/>
      <c r="I56" s="14"/>
      <c r="J56" s="14"/>
    </row>
    <row r="57" customFormat="false" ht="15" hidden="false" customHeight="true" outlineLevel="0" collapsed="false">
      <c r="A57" s="14"/>
      <c r="B57" s="14"/>
      <c r="C57" s="14"/>
      <c r="D57" s="14"/>
      <c r="E57" s="14"/>
      <c r="F57" s="14"/>
      <c r="G57" s="14"/>
      <c r="H57" s="14"/>
      <c r="I57" s="14"/>
      <c r="J57" s="14"/>
    </row>
    <row r="58" customFormat="false" ht="15" hidden="false" customHeight="true" outlineLevel="0" collapsed="false">
      <c r="A58" s="14"/>
      <c r="B58" s="14"/>
      <c r="C58" s="14"/>
      <c r="D58" s="14"/>
      <c r="E58" s="14"/>
      <c r="F58" s="14"/>
      <c r="G58" s="14"/>
      <c r="H58" s="14"/>
      <c r="I58" s="14"/>
      <c r="J58" s="14"/>
    </row>
    <row r="59" customFormat="false" ht="15" hidden="false" customHeight="true" outlineLevel="0" collapsed="false">
      <c r="A59" s="14"/>
      <c r="B59" s="14"/>
      <c r="C59" s="14"/>
      <c r="D59" s="14"/>
      <c r="E59" s="14"/>
      <c r="F59" s="14"/>
      <c r="G59" s="14"/>
      <c r="H59" s="14"/>
      <c r="I59" s="14"/>
      <c r="J59" s="14"/>
    </row>
    <row r="60" customFormat="false" ht="15" hidden="false" customHeight="true" outlineLevel="0" collapsed="false">
      <c r="A60" s="14"/>
      <c r="B60" s="14"/>
      <c r="C60" s="14"/>
      <c r="D60" s="14"/>
      <c r="E60" s="14"/>
      <c r="F60" s="14"/>
      <c r="G60" s="14"/>
      <c r="H60" s="14"/>
      <c r="I60" s="14"/>
      <c r="J60" s="14"/>
    </row>
    <row r="61" customFormat="false" ht="15" hidden="false" customHeight="true" outlineLevel="0" collapsed="false">
      <c r="A61" s="14"/>
      <c r="B61" s="14"/>
      <c r="C61" s="14"/>
      <c r="D61" s="14"/>
      <c r="E61" s="14"/>
      <c r="F61" s="14"/>
      <c r="G61" s="14"/>
      <c r="H61" s="14"/>
      <c r="I61" s="14"/>
      <c r="J61" s="14"/>
    </row>
    <row r="62" customFormat="false" ht="15" hidden="false" customHeight="true" outlineLevel="0" collapsed="false">
      <c r="A62" s="14"/>
      <c r="B62" s="14"/>
      <c r="C62" s="14"/>
      <c r="D62" s="14"/>
      <c r="E62" s="14"/>
      <c r="F62" s="14"/>
      <c r="G62" s="14"/>
      <c r="H62" s="14"/>
      <c r="I62" s="14"/>
      <c r="J62" s="14"/>
    </row>
    <row r="63" customFormat="false" ht="15" hidden="false" customHeight="true" outlineLevel="0" collapsed="false">
      <c r="A63" s="14"/>
      <c r="B63" s="14"/>
      <c r="C63" s="14"/>
      <c r="D63" s="14"/>
      <c r="E63" s="14"/>
      <c r="F63" s="14"/>
      <c r="G63" s="14"/>
      <c r="H63" s="14"/>
      <c r="I63" s="14"/>
      <c r="J63" s="14"/>
    </row>
    <row r="64" customFormat="false" ht="15" hidden="false" customHeight="true" outlineLevel="0" collapsed="false">
      <c r="A64" s="14"/>
      <c r="B64" s="14"/>
      <c r="C64" s="14"/>
      <c r="D64" s="14"/>
      <c r="E64" s="14"/>
      <c r="F64" s="14"/>
      <c r="G64" s="14"/>
      <c r="H64" s="14"/>
      <c r="I64" s="14"/>
      <c r="J64" s="14"/>
    </row>
    <row r="65" customFormat="false" ht="15" hidden="false" customHeight="true" outlineLevel="0" collapsed="false">
      <c r="A65" s="14"/>
      <c r="B65" s="14"/>
      <c r="C65" s="14"/>
      <c r="D65" s="14"/>
      <c r="E65" s="14"/>
      <c r="F65" s="14"/>
      <c r="G65" s="14"/>
      <c r="H65" s="14"/>
      <c r="I65" s="14"/>
      <c r="J65" s="14"/>
    </row>
    <row r="66" customFormat="false" ht="15" hidden="false" customHeight="true" outlineLevel="0" collapsed="false">
      <c r="A66" s="14"/>
      <c r="B66" s="14"/>
      <c r="C66" s="14"/>
      <c r="D66" s="14"/>
      <c r="E66" s="14"/>
      <c r="F66" s="14"/>
      <c r="G66" s="14"/>
      <c r="H66" s="14"/>
      <c r="I66" s="14"/>
      <c r="J66" s="14"/>
    </row>
    <row r="67" customFormat="false" ht="15" hidden="false" customHeight="true" outlineLevel="0" collapsed="false">
      <c r="A67" s="14"/>
      <c r="B67" s="14"/>
      <c r="C67" s="14"/>
      <c r="D67" s="14"/>
      <c r="E67" s="14"/>
      <c r="F67" s="14"/>
      <c r="G67" s="14"/>
      <c r="H67" s="14"/>
      <c r="I67" s="14"/>
      <c r="J67" s="14"/>
    </row>
    <row r="68" customFormat="false" ht="15" hidden="false" customHeight="true" outlineLevel="0" collapsed="false">
      <c r="A68" s="14"/>
      <c r="B68" s="14"/>
      <c r="C68" s="14"/>
      <c r="D68" s="14"/>
      <c r="E68" s="14"/>
      <c r="F68" s="14"/>
      <c r="G68" s="14"/>
      <c r="H68" s="14"/>
      <c r="I68" s="14"/>
      <c r="J68" s="14"/>
    </row>
    <row r="69" customFormat="false" ht="15" hidden="false" customHeight="true" outlineLevel="0" collapsed="false">
      <c r="A69" s="14"/>
      <c r="B69" s="14"/>
      <c r="C69" s="14"/>
      <c r="D69" s="14"/>
      <c r="E69" s="14"/>
      <c r="F69" s="14"/>
      <c r="G69" s="14"/>
      <c r="H69" s="14"/>
      <c r="I69" s="14"/>
      <c r="J69" s="14"/>
    </row>
    <row r="70" customFormat="false" ht="15" hidden="false" customHeight="true" outlineLevel="0" collapsed="false">
      <c r="A70" s="14"/>
      <c r="B70" s="14"/>
      <c r="C70" s="14"/>
      <c r="D70" s="14"/>
      <c r="E70" s="14"/>
      <c r="F70" s="14"/>
      <c r="G70" s="14"/>
      <c r="H70" s="14"/>
      <c r="I70" s="14"/>
      <c r="J70" s="14"/>
    </row>
    <row r="71" customFormat="false" ht="15" hidden="false" customHeight="true" outlineLevel="0" collapsed="false">
      <c r="A71" s="14"/>
      <c r="B71" s="14"/>
      <c r="C71" s="14"/>
      <c r="D71" s="14"/>
      <c r="E71" s="14"/>
      <c r="F71" s="14"/>
      <c r="G71" s="14"/>
      <c r="H71" s="14"/>
      <c r="I71" s="14"/>
      <c r="J71" s="14"/>
    </row>
    <row r="72" customFormat="false" ht="15" hidden="false" customHeight="true" outlineLevel="0" collapsed="false">
      <c r="A72" s="14"/>
      <c r="B72" s="14"/>
      <c r="C72" s="14"/>
      <c r="D72" s="14"/>
      <c r="E72" s="14"/>
      <c r="F72" s="14"/>
      <c r="G72" s="14"/>
      <c r="H72" s="14"/>
      <c r="I72" s="14"/>
      <c r="J72" s="14"/>
    </row>
    <row r="73" customFormat="false" ht="15" hidden="false" customHeight="true" outlineLevel="0" collapsed="false">
      <c r="A73" s="14"/>
      <c r="B73" s="14"/>
      <c r="C73" s="14"/>
      <c r="D73" s="14"/>
      <c r="E73" s="14"/>
      <c r="F73" s="14"/>
      <c r="G73" s="14"/>
      <c r="H73" s="14"/>
      <c r="I73" s="14"/>
      <c r="J73" s="14"/>
    </row>
    <row r="74" customFormat="false" ht="15" hidden="false" customHeight="true" outlineLevel="0" collapsed="false">
      <c r="A74" s="14"/>
      <c r="B74" s="14"/>
      <c r="C74" s="14"/>
      <c r="D74" s="14"/>
      <c r="E74" s="14"/>
      <c r="F74" s="14"/>
      <c r="G74" s="14"/>
      <c r="H74" s="14"/>
      <c r="I74" s="14"/>
      <c r="J74" s="14"/>
    </row>
    <row r="75" customFormat="false" ht="15" hidden="false" customHeight="true" outlineLevel="0" collapsed="false">
      <c r="A75" s="14"/>
      <c r="B75" s="14"/>
      <c r="C75" s="14"/>
      <c r="D75" s="14"/>
      <c r="E75" s="14"/>
      <c r="F75" s="14"/>
      <c r="G75" s="14"/>
      <c r="H75" s="14"/>
      <c r="I75" s="14"/>
      <c r="J75" s="14"/>
    </row>
    <row r="76" customFormat="false" ht="15" hidden="false" customHeight="true" outlineLevel="0" collapsed="false">
      <c r="A76" s="14"/>
      <c r="B76" s="14"/>
      <c r="C76" s="14"/>
      <c r="D76" s="14"/>
      <c r="E76" s="14"/>
      <c r="F76" s="14"/>
      <c r="G76" s="14"/>
      <c r="H76" s="14"/>
      <c r="I76" s="14"/>
      <c r="J76" s="14"/>
    </row>
    <row r="77" customFormat="false" ht="15" hidden="false" customHeight="true" outlineLevel="0" collapsed="false">
      <c r="A77" s="14"/>
      <c r="B77" s="14"/>
      <c r="C77" s="14"/>
      <c r="D77" s="14"/>
      <c r="E77" s="14"/>
      <c r="F77" s="14"/>
      <c r="G77" s="14"/>
      <c r="H77" s="14"/>
      <c r="I77" s="14"/>
      <c r="J77" s="14"/>
    </row>
    <row r="78" customFormat="false" ht="15" hidden="false" customHeight="true" outlineLevel="0" collapsed="false">
      <c r="A78" s="14"/>
      <c r="B78" s="14"/>
      <c r="C78" s="14"/>
      <c r="D78" s="14"/>
      <c r="E78" s="14"/>
      <c r="F78" s="14"/>
      <c r="G78" s="14"/>
      <c r="H78" s="14"/>
      <c r="I78" s="14"/>
      <c r="J78" s="14"/>
    </row>
    <row r="79" customFormat="false" ht="15" hidden="false" customHeight="true" outlineLevel="0" collapsed="false">
      <c r="A79" s="14"/>
      <c r="B79" s="14"/>
      <c r="C79" s="14"/>
      <c r="D79" s="14"/>
      <c r="E79" s="14"/>
      <c r="F79" s="14"/>
      <c r="G79" s="14"/>
      <c r="H79" s="14"/>
      <c r="I79" s="14"/>
      <c r="J79" s="14"/>
    </row>
    <row r="80" customFormat="false" ht="15" hidden="false" customHeight="true" outlineLevel="0" collapsed="false">
      <c r="A80" s="14"/>
      <c r="B80" s="14"/>
      <c r="C80" s="14"/>
      <c r="D80" s="14"/>
      <c r="E80" s="14"/>
      <c r="F80" s="14"/>
      <c r="G80" s="14"/>
      <c r="H80" s="14"/>
      <c r="I80" s="14"/>
      <c r="J80" s="14"/>
    </row>
    <row r="81" customFormat="false" ht="15" hidden="false" customHeight="true" outlineLevel="0" collapsed="false">
      <c r="A81" s="14"/>
      <c r="B81" s="14"/>
      <c r="C81" s="14"/>
      <c r="D81" s="14"/>
      <c r="E81" s="14"/>
      <c r="F81" s="14"/>
      <c r="G81" s="14"/>
      <c r="H81" s="14"/>
      <c r="I81" s="14"/>
      <c r="J81" s="14"/>
    </row>
    <row r="82" customFormat="false" ht="15" hidden="false" customHeight="true" outlineLevel="0" collapsed="false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customFormat="false" ht="15" hidden="false" customHeight="true" outlineLevel="0" collapsed="false">
      <c r="A83" s="14"/>
      <c r="B83" s="14"/>
      <c r="C83" s="14"/>
      <c r="D83" s="14"/>
      <c r="E83" s="14"/>
      <c r="F83" s="14"/>
      <c r="G83" s="14"/>
      <c r="H83" s="14"/>
      <c r="I83" s="14"/>
      <c r="J83" s="14"/>
    </row>
    <row r="84" customFormat="false" ht="15" hidden="false" customHeight="true" outlineLevel="0" collapsed="false">
      <c r="A84" s="14"/>
      <c r="B84" s="14"/>
      <c r="C84" s="14"/>
      <c r="D84" s="14"/>
      <c r="E84" s="14"/>
      <c r="F84" s="14"/>
      <c r="G84" s="14"/>
      <c r="H84" s="14"/>
      <c r="I84" s="14"/>
      <c r="J84" s="14"/>
    </row>
    <row r="85" customFormat="false" ht="15" hidden="false" customHeight="true" outlineLevel="0" collapsed="false">
      <c r="A85" s="14"/>
      <c r="B85" s="14"/>
      <c r="C85" s="14"/>
      <c r="D85" s="14"/>
      <c r="E85" s="14"/>
      <c r="F85" s="14"/>
      <c r="G85" s="14"/>
      <c r="H85" s="14"/>
      <c r="I85" s="14"/>
      <c r="J85" s="14"/>
    </row>
    <row r="86" customFormat="false" ht="15" hidden="false" customHeight="true" outlineLevel="0" collapsed="false">
      <c r="A86" s="14"/>
      <c r="B86" s="14"/>
      <c r="C86" s="14"/>
      <c r="D86" s="14"/>
      <c r="E86" s="14"/>
      <c r="F86" s="14"/>
      <c r="G86" s="14"/>
      <c r="H86" s="14"/>
      <c r="I86" s="14"/>
      <c r="J86" s="14"/>
    </row>
    <row r="87" customFormat="false" ht="15" hidden="false" customHeight="true" outlineLevel="0" collapsed="false">
      <c r="A87" s="14"/>
      <c r="B87" s="14"/>
      <c r="C87" s="14"/>
      <c r="D87" s="14"/>
      <c r="E87" s="14"/>
      <c r="F87" s="14"/>
      <c r="G87" s="14"/>
      <c r="H87" s="14"/>
      <c r="I87" s="14"/>
      <c r="J87" s="14"/>
    </row>
    <row r="88" customFormat="false" ht="15" hidden="false" customHeight="true" outlineLevel="0" collapsed="false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 customFormat="false" ht="15" hidden="false" customHeight="true" outlineLevel="0" collapsed="false">
      <c r="A89" s="14"/>
      <c r="B89" s="14"/>
      <c r="C89" s="14"/>
      <c r="D89" s="14"/>
      <c r="E89" s="14"/>
      <c r="F89" s="14"/>
      <c r="G89" s="14"/>
      <c r="H89" s="14"/>
      <c r="I89" s="14"/>
      <c r="J89" s="14"/>
    </row>
    <row r="90" customFormat="false" ht="15" hidden="false" customHeight="true" outlineLevel="0" collapsed="false">
      <c r="A90" s="14"/>
      <c r="B90" s="14"/>
      <c r="C90" s="14"/>
      <c r="D90" s="14"/>
      <c r="E90" s="14"/>
      <c r="F90" s="14"/>
      <c r="G90" s="14"/>
      <c r="H90" s="14"/>
      <c r="I90" s="14"/>
      <c r="J90" s="14"/>
    </row>
    <row r="91" customFormat="false" ht="15" hidden="false" customHeight="true" outlineLevel="0" collapsed="false">
      <c r="A91" s="14"/>
      <c r="B91" s="14"/>
      <c r="C91" s="14"/>
      <c r="D91" s="14"/>
      <c r="E91" s="14"/>
      <c r="F91" s="14"/>
      <c r="G91" s="14"/>
      <c r="H91" s="14"/>
      <c r="I91" s="14"/>
      <c r="J91" s="14"/>
    </row>
    <row r="92" customFormat="false" ht="15" hidden="false" customHeight="true" outlineLevel="0" collapsed="false">
      <c r="A92" s="14"/>
      <c r="B92" s="14"/>
      <c r="C92" s="14"/>
      <c r="D92" s="14"/>
      <c r="E92" s="14"/>
      <c r="F92" s="14"/>
      <c r="G92" s="14"/>
      <c r="H92" s="14"/>
      <c r="I92" s="14"/>
      <c r="J92" s="14"/>
    </row>
    <row r="93" customFormat="false" ht="15" hidden="false" customHeight="true" outlineLevel="0" collapsed="false">
      <c r="A93" s="14"/>
      <c r="B93" s="14"/>
      <c r="C93" s="14"/>
      <c r="D93" s="14"/>
      <c r="E93" s="14"/>
      <c r="F93" s="14"/>
      <c r="G93" s="14"/>
      <c r="H93" s="14"/>
      <c r="I93" s="14"/>
      <c r="J93" s="14"/>
    </row>
    <row r="94" customFormat="false" ht="15" hidden="false" customHeight="true" outlineLevel="0" collapsed="false">
      <c r="A94" s="14"/>
      <c r="B94" s="14"/>
      <c r="C94" s="14"/>
      <c r="D94" s="14"/>
      <c r="E94" s="14"/>
      <c r="F94" s="14"/>
      <c r="G94" s="14"/>
      <c r="H94" s="14"/>
      <c r="I94" s="14"/>
      <c r="J94" s="14"/>
    </row>
    <row r="95" customFormat="false" ht="15" hidden="false" customHeight="true" outlineLevel="0" collapsed="false">
      <c r="A95" s="14"/>
      <c r="B95" s="14"/>
      <c r="C95" s="14"/>
      <c r="D95" s="14"/>
      <c r="E95" s="14"/>
      <c r="F95" s="14"/>
      <c r="G95" s="14"/>
      <c r="H95" s="14"/>
      <c r="I95" s="14"/>
      <c r="J95" s="14"/>
    </row>
    <row r="96" customFormat="false" ht="15" hidden="false" customHeight="true" outlineLevel="0" collapsed="false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customFormat="false" ht="15" hidden="false" customHeight="true" outlineLevel="0" collapsed="false">
      <c r="A97" s="14"/>
      <c r="B97" s="14"/>
      <c r="C97" s="14"/>
      <c r="D97" s="14"/>
      <c r="E97" s="14"/>
      <c r="F97" s="14"/>
      <c r="G97" s="14"/>
      <c r="H97" s="14"/>
      <c r="I97" s="14"/>
      <c r="J97" s="14"/>
    </row>
    <row r="98" customFormat="false" ht="15" hidden="false" customHeight="true" outlineLevel="0" collapsed="false">
      <c r="A98" s="14"/>
      <c r="B98" s="14"/>
      <c r="C98" s="14"/>
      <c r="D98" s="14"/>
      <c r="E98" s="14"/>
      <c r="F98" s="14"/>
      <c r="G98" s="14"/>
      <c r="H98" s="14"/>
      <c r="I98" s="14"/>
      <c r="J98" s="14"/>
    </row>
    <row r="99" customFormat="false" ht="15" hidden="false" customHeight="true" outlineLevel="0" collapsed="false">
      <c r="A99" s="14"/>
      <c r="B99" s="14"/>
      <c r="C99" s="14"/>
      <c r="D99" s="14"/>
      <c r="E99" s="14"/>
      <c r="F99" s="14"/>
      <c r="G99" s="14"/>
      <c r="H99" s="14"/>
      <c r="I99" s="14"/>
      <c r="J99" s="14"/>
    </row>
    <row r="100" customFormat="false" ht="15" hidden="false" customHeight="true" outlineLevel="0" collapsed="false">
      <c r="A100" s="14"/>
      <c r="B100" s="14"/>
      <c r="C100" s="14"/>
      <c r="D100" s="14"/>
      <c r="E100" s="14"/>
      <c r="F100" s="14"/>
      <c r="G100" s="14"/>
      <c r="H100" s="14"/>
      <c r="I100" s="14"/>
      <c r="J100" s="14"/>
    </row>
    <row r="101" customFormat="false" ht="15" hidden="false" customHeight="true" outlineLevel="0" collapsed="false">
      <c r="A101" s="14"/>
      <c r="B101" s="14"/>
      <c r="C101" s="14"/>
      <c r="D101" s="14"/>
      <c r="E101" s="14"/>
      <c r="F101" s="14"/>
      <c r="G101" s="14"/>
      <c r="H101" s="14"/>
      <c r="I101" s="14"/>
      <c r="J101" s="14"/>
    </row>
    <row r="102" customFormat="false" ht="15" hidden="false" customHeight="true" outlineLevel="0" collapsed="false">
      <c r="A102" s="14"/>
      <c r="B102" s="14"/>
      <c r="C102" s="14"/>
      <c r="D102" s="14"/>
      <c r="E102" s="14"/>
      <c r="F102" s="14"/>
      <c r="G102" s="14"/>
      <c r="H102" s="14"/>
      <c r="I102" s="14"/>
      <c r="J102" s="14"/>
    </row>
    <row r="103" customFormat="false" ht="15" hidden="false" customHeight="true" outlineLevel="0" collapsed="false">
      <c r="A103" s="14"/>
      <c r="B103" s="14"/>
      <c r="C103" s="14"/>
      <c r="D103" s="14"/>
      <c r="E103" s="14"/>
      <c r="F103" s="14"/>
      <c r="G103" s="14"/>
      <c r="H103" s="14"/>
      <c r="I103" s="14"/>
      <c r="J103" s="14"/>
    </row>
    <row r="104" customFormat="false" ht="15" hidden="false" customHeight="true" outlineLevel="0" collapsed="false">
      <c r="A104" s="14"/>
      <c r="B104" s="14"/>
      <c r="C104" s="14"/>
      <c r="D104" s="14"/>
      <c r="E104" s="14"/>
      <c r="F104" s="14"/>
      <c r="G104" s="14"/>
      <c r="H104" s="14"/>
      <c r="I104" s="14"/>
      <c r="J104" s="14"/>
    </row>
    <row r="105" customFormat="false" ht="15" hidden="false" customHeight="true" outlineLevel="0" collapsed="false">
      <c r="A105" s="14"/>
      <c r="B105" s="14"/>
      <c r="C105" s="14"/>
      <c r="D105" s="14"/>
      <c r="E105" s="14"/>
      <c r="F105" s="14"/>
      <c r="G105" s="14"/>
      <c r="H105" s="14"/>
      <c r="I105" s="14"/>
      <c r="J105" s="14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5" min="3" style="1" width="18"/>
    <col collapsed="false" customWidth="true" hidden="false" outlineLevel="0" max="6" min="6" style="1" width="3"/>
  </cols>
  <sheetData>
    <row r="1" customFormat="false" ht="36" hidden="false" customHeight="true" outlineLevel="0" collapsed="false">
      <c r="B1" s="15" t="s">
        <v>79</v>
      </c>
      <c r="C1" s="15"/>
      <c r="D1" s="15"/>
      <c r="E1" s="15"/>
    </row>
    <row r="2" customFormat="false" ht="19.5" hidden="false" customHeight="true" outlineLevel="0" collapsed="false">
      <c r="B2" s="16" t="s">
        <v>80</v>
      </c>
      <c r="C2" s="16"/>
      <c r="D2" s="16"/>
      <c r="E2" s="16"/>
    </row>
    <row r="3" customFormat="false" ht="9.75" hidden="false" customHeight="true" outlineLevel="0" collapsed="false"/>
    <row r="4" customFormat="false" ht="21.75" hidden="false" customHeight="true" outlineLevel="0" collapsed="false">
      <c r="B4" s="17" t="s">
        <v>81</v>
      </c>
      <c r="C4" s="17" t="s">
        <v>82</v>
      </c>
      <c r="D4" s="17" t="s">
        <v>83</v>
      </c>
      <c r="E4" s="17" t="s">
        <v>84</v>
      </c>
    </row>
    <row r="5" customFormat="false" ht="21.75" hidden="false" customHeight="true" outlineLevel="0" collapsed="false">
      <c r="B5" s="18" t="s">
        <v>85</v>
      </c>
      <c r="C5" s="18"/>
      <c r="D5" s="18"/>
      <c r="E5" s="18"/>
    </row>
    <row r="6" customFormat="false" ht="24" hidden="false" customHeight="true" outlineLevel="0" collapsed="false">
      <c r="B6" s="19" t="s">
        <v>86</v>
      </c>
      <c r="C6" s="20" t="n">
        <f aca="false">SUMIF('CPD Log'!H3:H105,"Y",'CPD Log'!F3:F105)</f>
        <v>90.5</v>
      </c>
      <c r="D6" s="21" t="s">
        <v>87</v>
      </c>
      <c r="E6" s="7" t="str">
        <f aca="false">IF(C6&gt;=80,"✓ On Track","⚠ Needs More")</f>
        <v>✓ On Track</v>
      </c>
    </row>
    <row r="7" customFormat="false" ht="24" hidden="false" customHeight="true" outlineLevel="0" collapsed="false">
      <c r="B7" s="19" t="s">
        <v>88</v>
      </c>
      <c r="C7" s="20" t="n">
        <f aca="false">SUMIF('CPD Log'!D3:D105,"Guided",'CPD Log'!F3:F105)</f>
        <v>39.5</v>
      </c>
      <c r="D7" s="21" t="s">
        <v>89</v>
      </c>
      <c r="E7" s="7" t="str">
        <f aca="false">IF(C7&gt;=30,"✓ On Track","⚠ Needs More")</f>
        <v>✓ On Track</v>
      </c>
    </row>
    <row r="8" customFormat="false" ht="24" hidden="false" customHeight="true" outlineLevel="0" collapsed="false">
      <c r="B8" s="19" t="s">
        <v>90</v>
      </c>
      <c r="C8" s="20" t="n">
        <f aca="false">SUMIF('CPD Log'!D3:D105,"Self-Study",'CPD Log'!F3:F105)</f>
        <v>51</v>
      </c>
      <c r="D8" s="21" t="s">
        <v>91</v>
      </c>
      <c r="E8" s="21" t="s">
        <v>92</v>
      </c>
    </row>
    <row r="9" customFormat="false" ht="24" hidden="false" customHeight="true" outlineLevel="0" collapsed="false">
      <c r="B9" s="19" t="s">
        <v>93</v>
      </c>
      <c r="C9" s="20" t="n">
        <f aca="false">SUMIF('CPD Log'!G3:G105,"Y",'CPD Log'!F3:F105)</f>
        <v>0</v>
      </c>
      <c r="D9" s="21" t="s">
        <v>94</v>
      </c>
      <c r="E9" s="21" t="s">
        <v>92</v>
      </c>
    </row>
    <row r="10" customFormat="false" ht="9.75" hidden="false" customHeight="true" outlineLevel="0" collapsed="false"/>
    <row r="11" customFormat="false" ht="21.75" hidden="false" customHeight="true" outlineLevel="0" collapsed="false">
      <c r="B11" s="18" t="s">
        <v>95</v>
      </c>
      <c r="C11" s="18"/>
      <c r="D11" s="18"/>
      <c r="E11" s="18"/>
    </row>
    <row r="12" customFormat="false" ht="24" hidden="false" customHeight="true" outlineLevel="0" collapsed="false">
      <c r="B12" s="22" t="s">
        <v>96</v>
      </c>
      <c r="C12" s="20" t="n">
        <f aca="false">MAX(0,80-C6)</f>
        <v>0</v>
      </c>
      <c r="D12" s="21" t="s">
        <v>97</v>
      </c>
      <c r="E12" s="7" t="str">
        <f aca="false">IF(C12&lt;=0,"✓ Done!","⚠ " &amp; TEXT(C12,"0.0") &amp; " hrs left")</f>
        <v>✓ Done!</v>
      </c>
    </row>
    <row r="13" customFormat="false" ht="24" hidden="false" customHeight="true" outlineLevel="0" collapsed="false">
      <c r="B13" s="22" t="s">
        <v>98</v>
      </c>
      <c r="C13" s="20" t="n">
        <f aca="false">MAX(0,30-C7)</f>
        <v>0</v>
      </c>
      <c r="D13" s="21" t="s">
        <v>99</v>
      </c>
      <c r="E13" s="7" t="str">
        <f aca="false">IF(C13&lt;=0,"✓ Done!","⚠ " &amp; TEXT(C13,"0.0") &amp; " hrs left")</f>
        <v>✓ Done!</v>
      </c>
    </row>
    <row r="14" customFormat="false" ht="9.75" hidden="false" customHeight="true" outlineLevel="0" collapsed="false"/>
    <row r="15" customFormat="false" ht="21.75" hidden="false" customHeight="true" outlineLevel="0" collapsed="false">
      <c r="B15" s="18" t="s">
        <v>100</v>
      </c>
      <c r="C15" s="18"/>
      <c r="D15" s="18"/>
      <c r="E15" s="18"/>
    </row>
    <row r="16" customFormat="false" ht="21.75" hidden="false" customHeight="true" outlineLevel="0" collapsed="false">
      <c r="B16" s="23" t="s">
        <v>101</v>
      </c>
      <c r="C16" s="23"/>
      <c r="D16" s="23"/>
      <c r="E16" s="23"/>
    </row>
    <row r="17" customFormat="false" ht="9.75" hidden="false" customHeight="true" outlineLevel="0" collapsed="false"/>
    <row r="18" customFormat="false" ht="21.75" hidden="false" customHeight="true" outlineLevel="0" collapsed="false">
      <c r="B18" s="18" t="s">
        <v>102</v>
      </c>
      <c r="C18" s="18"/>
      <c r="D18" s="18"/>
      <c r="E18" s="18"/>
    </row>
    <row r="19" customFormat="false" ht="19.5" hidden="false" customHeight="true" outlineLevel="0" collapsed="false">
      <c r="B19" s="24" t="s">
        <v>103</v>
      </c>
      <c r="C19" s="24"/>
      <c r="D19" s="24"/>
      <c r="E19" s="24"/>
    </row>
  </sheetData>
  <mergeCells count="8">
    <mergeCell ref="B1:E1"/>
    <mergeCell ref="B2:E2"/>
    <mergeCell ref="B5:E5"/>
    <mergeCell ref="B11:E11"/>
    <mergeCell ref="B15:E15"/>
    <mergeCell ref="B16:E16"/>
    <mergeCell ref="B18:E18"/>
    <mergeCell ref="B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50"/>
    <col collapsed="false" customWidth="true" hidden="false" outlineLevel="0" max="4" min="4" style="1" width="3"/>
  </cols>
  <sheetData>
    <row r="1" customFormat="false" ht="30" hidden="false" customHeight="true" outlineLevel="0" collapsed="false">
      <c r="B1" s="2" t="s">
        <v>104</v>
      </c>
      <c r="C1" s="2"/>
    </row>
    <row r="2" customFormat="false" ht="19.5" hidden="false" customHeight="true" outlineLevel="0" collapsed="false">
      <c r="B2" s="25" t="s">
        <v>105</v>
      </c>
      <c r="C2" s="25" t="s">
        <v>106</v>
      </c>
    </row>
    <row r="3" customFormat="false" ht="19.5" hidden="false" customHeight="true" outlineLevel="0" collapsed="false">
      <c r="B3" s="26" t="s">
        <v>107</v>
      </c>
      <c r="C3" s="27" t="s">
        <v>108</v>
      </c>
    </row>
    <row r="4" customFormat="false" ht="19.5" hidden="false" customHeight="true" outlineLevel="0" collapsed="false">
      <c r="B4" s="26" t="s">
        <v>109</v>
      </c>
      <c r="C4" s="27" t="s">
        <v>110</v>
      </c>
    </row>
    <row r="5" customFormat="false" ht="19.5" hidden="false" customHeight="true" outlineLevel="0" collapsed="false">
      <c r="B5" s="26" t="s">
        <v>28</v>
      </c>
      <c r="C5" s="27" t="s">
        <v>111</v>
      </c>
    </row>
    <row r="6" customFormat="false" ht="19.5" hidden="false" customHeight="true" outlineLevel="0" collapsed="false">
      <c r="B6" s="26" t="s">
        <v>112</v>
      </c>
      <c r="C6" s="27" t="s">
        <v>113</v>
      </c>
    </row>
    <row r="7" customFormat="false" ht="19.5" hidden="false" customHeight="true" outlineLevel="0" collapsed="false">
      <c r="B7" s="26" t="s">
        <v>114</v>
      </c>
      <c r="C7" s="27" t="s">
        <v>115</v>
      </c>
    </row>
    <row r="8" customFormat="false" ht="19.5" hidden="false" customHeight="true" outlineLevel="0" collapsed="false">
      <c r="B8" s="26" t="s">
        <v>116</v>
      </c>
      <c r="C8" s="27" t="s">
        <v>117</v>
      </c>
    </row>
    <row r="9" customFormat="false" ht="19.5" hidden="false" customHeight="true" outlineLevel="0" collapsed="false">
      <c r="B9" s="26" t="s">
        <v>118</v>
      </c>
      <c r="C9" s="27" t="s">
        <v>119</v>
      </c>
    </row>
    <row r="10" customFormat="false" ht="19.5" hidden="false" customHeight="true" outlineLevel="0" collapsed="false"/>
    <row r="11" customFormat="false" ht="19.5" hidden="false" customHeight="true" outlineLevel="0" collapsed="false">
      <c r="B11" s="25" t="s">
        <v>120</v>
      </c>
      <c r="C11" s="25" t="s">
        <v>121</v>
      </c>
    </row>
    <row r="12" customFormat="false" ht="19.5" hidden="false" customHeight="true" outlineLevel="0" collapsed="false">
      <c r="B12" s="26" t="s">
        <v>122</v>
      </c>
      <c r="C12" s="27" t="s">
        <v>123</v>
      </c>
    </row>
    <row r="13" customFormat="false" ht="19.5" hidden="false" customHeight="true" outlineLevel="0" collapsed="false">
      <c r="B13" s="26" t="s">
        <v>124</v>
      </c>
      <c r="C13" s="27" t="s">
        <v>125</v>
      </c>
    </row>
    <row r="14" customFormat="false" ht="19.5" hidden="false" customHeight="true" outlineLevel="0" collapsed="false">
      <c r="B14" s="26" t="s">
        <v>126</v>
      </c>
      <c r="C14" s="27" t="s">
        <v>127</v>
      </c>
    </row>
    <row r="15" customFormat="false" ht="19.5" hidden="false" customHeight="true" outlineLevel="0" collapsed="false">
      <c r="B15" s="26" t="s">
        <v>128</v>
      </c>
      <c r="C15" s="27" t="s">
        <v>129</v>
      </c>
    </row>
    <row r="16" customFormat="false" ht="19.5" hidden="false" customHeight="true" outlineLevel="0" collapsed="false"/>
    <row r="17" customFormat="false" ht="19.5" hidden="false" customHeight="true" outlineLevel="0" collapsed="false">
      <c r="B17" s="25" t="s">
        <v>130</v>
      </c>
      <c r="C17" s="25" t="s">
        <v>121</v>
      </c>
    </row>
    <row r="18" customFormat="false" ht="19.5" hidden="false" customHeight="true" outlineLevel="0" collapsed="false">
      <c r="B18" s="26" t="s">
        <v>131</v>
      </c>
      <c r="C18" s="27" t="s">
        <v>132</v>
      </c>
    </row>
    <row r="19" customFormat="false" ht="19.5" hidden="false" customHeight="true" outlineLevel="0" collapsed="false">
      <c r="B19" s="26" t="s">
        <v>133</v>
      </c>
      <c r="C19" s="27" t="s">
        <v>134</v>
      </c>
    </row>
    <row r="20" customFormat="false" ht="19.5" hidden="false" customHeight="true" outlineLevel="0" collapsed="false">
      <c r="B20" s="26" t="s">
        <v>135</v>
      </c>
      <c r="C20" s="27" t="s">
        <v>136</v>
      </c>
    </row>
    <row r="21" customFormat="false" ht="19.5" hidden="false" customHeight="true" outlineLevel="0" collapsed="false">
      <c r="B21" s="26" t="s">
        <v>137</v>
      </c>
      <c r="C21" s="27" t="s">
        <v>138</v>
      </c>
    </row>
  </sheetData>
  <mergeCells count="1">
    <mergeCell ref="B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35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30" hidden="false" customHeight="true" outlineLevel="0" collapsed="false">
      <c r="A1" s="2" t="s">
        <v>139</v>
      </c>
      <c r="B1" s="2"/>
      <c r="C1" s="2"/>
      <c r="D1" s="2"/>
      <c r="E1" s="2"/>
      <c r="F1" s="2"/>
      <c r="G1" s="2"/>
    </row>
    <row r="2" customFormat="false" ht="36" hidden="false" customHeight="true" outlineLevel="0" collapsed="false">
      <c r="A2" s="28" t="s">
        <v>140</v>
      </c>
      <c r="B2" s="28" t="s">
        <v>141</v>
      </c>
      <c r="C2" s="28" t="s">
        <v>142</v>
      </c>
      <c r="D2" s="28" t="s">
        <v>6</v>
      </c>
      <c r="E2" s="28" t="s">
        <v>143</v>
      </c>
      <c r="F2" s="28" t="s">
        <v>144</v>
      </c>
      <c r="G2" s="28" t="s">
        <v>145</v>
      </c>
    </row>
    <row r="3" customFormat="false" ht="15" hidden="false" customHeight="false" outlineLevel="0" collapsed="false">
      <c r="A3" s="5" t="s">
        <v>146</v>
      </c>
      <c r="B3" s="5" t="s">
        <v>37</v>
      </c>
      <c r="C3" s="4" t="s">
        <v>14</v>
      </c>
      <c r="D3" s="29" t="n">
        <v>1</v>
      </c>
      <c r="E3" s="5" t="s">
        <v>147</v>
      </c>
      <c r="F3" s="4" t="s">
        <v>15</v>
      </c>
      <c r="G3" s="4" t="s">
        <v>148</v>
      </c>
    </row>
    <row r="4" customFormat="false" ht="15" hidden="false" customHeight="false" outlineLevel="0" collapsed="false">
      <c r="A4" s="5" t="s">
        <v>149</v>
      </c>
      <c r="B4" s="5" t="s">
        <v>150</v>
      </c>
      <c r="C4" s="4" t="s">
        <v>14</v>
      </c>
      <c r="D4" s="29" t="n">
        <v>1.5</v>
      </c>
      <c r="E4" s="5" t="s">
        <v>151</v>
      </c>
      <c r="F4" s="4" t="s">
        <v>112</v>
      </c>
      <c r="G4" s="4" t="s">
        <v>148</v>
      </c>
    </row>
    <row r="5" customFormat="false" ht="15" hidden="false" customHeight="false" outlineLevel="0" collapsed="false">
      <c r="A5" s="30"/>
      <c r="B5" s="30"/>
      <c r="C5" s="30"/>
      <c r="D5" s="30"/>
      <c r="E5" s="30"/>
      <c r="F5" s="30"/>
      <c r="G5" s="30"/>
    </row>
    <row r="6" customFormat="false" ht="15" hidden="false" customHeight="false" outlineLevel="0" collapsed="false">
      <c r="A6" s="30"/>
      <c r="B6" s="30"/>
      <c r="C6" s="30"/>
      <c r="D6" s="30"/>
      <c r="E6" s="30"/>
      <c r="F6" s="30"/>
      <c r="G6" s="30"/>
    </row>
    <row r="7" customFormat="false" ht="15" hidden="false" customHeight="false" outlineLevel="0" collapsed="false">
      <c r="A7" s="30"/>
      <c r="B7" s="30"/>
      <c r="C7" s="30"/>
      <c r="D7" s="30"/>
      <c r="E7" s="30"/>
      <c r="F7" s="30"/>
      <c r="G7" s="30"/>
    </row>
    <row r="8" customFormat="false" ht="15" hidden="false" customHeight="false" outlineLevel="0" collapsed="false">
      <c r="A8" s="30"/>
      <c r="B8" s="30"/>
      <c r="C8" s="30"/>
      <c r="D8" s="30"/>
      <c r="E8" s="30"/>
      <c r="F8" s="30"/>
      <c r="G8" s="30"/>
    </row>
    <row r="9" customFormat="false" ht="15" hidden="false" customHeight="false" outlineLevel="0" collapsed="false">
      <c r="A9" s="30"/>
      <c r="B9" s="30"/>
      <c r="C9" s="30"/>
      <c r="D9" s="30"/>
      <c r="E9" s="30"/>
      <c r="F9" s="30"/>
      <c r="G9" s="30"/>
    </row>
    <row r="10" customFormat="false" ht="15" hidden="false" customHeight="false" outlineLevel="0" collapsed="false">
      <c r="A10" s="30"/>
      <c r="B10" s="30"/>
      <c r="C10" s="30"/>
      <c r="D10" s="30"/>
      <c r="E10" s="30"/>
      <c r="F10" s="30"/>
      <c r="G10" s="30"/>
    </row>
    <row r="11" customFormat="false" ht="15" hidden="false" customHeight="false" outlineLevel="0" collapsed="false">
      <c r="A11" s="30"/>
      <c r="B11" s="30"/>
      <c r="C11" s="30"/>
      <c r="D11" s="30"/>
      <c r="E11" s="30"/>
      <c r="F11" s="30"/>
      <c r="G11" s="30"/>
    </row>
    <row r="12" customFormat="false" ht="15" hidden="false" customHeight="false" outlineLevel="0" collapsed="false">
      <c r="A12" s="30"/>
      <c r="B12" s="30"/>
      <c r="C12" s="30"/>
      <c r="D12" s="30"/>
      <c r="E12" s="30"/>
      <c r="F12" s="30"/>
      <c r="G12" s="30"/>
    </row>
    <row r="13" customFormat="false" ht="15" hidden="false" customHeight="false" outlineLevel="0" collapsed="false">
      <c r="A13" s="30"/>
      <c r="B13" s="30"/>
      <c r="C13" s="30"/>
      <c r="D13" s="30"/>
      <c r="E13" s="30"/>
      <c r="F13" s="30"/>
      <c r="G13" s="30"/>
    </row>
    <row r="14" customFormat="false" ht="15" hidden="false" customHeight="false" outlineLevel="0" collapsed="false">
      <c r="A14" s="30"/>
      <c r="B14" s="30"/>
      <c r="C14" s="30"/>
      <c r="D14" s="30"/>
      <c r="E14" s="30"/>
      <c r="F14" s="30"/>
      <c r="G14" s="30"/>
    </row>
    <row r="15" customFormat="false" ht="15" hidden="false" customHeight="false" outlineLevel="0" collapsed="false">
      <c r="A15" s="30"/>
      <c r="B15" s="30"/>
      <c r="C15" s="30"/>
      <c r="D15" s="30"/>
      <c r="E15" s="30"/>
      <c r="F15" s="30"/>
      <c r="G15" s="30"/>
    </row>
    <row r="16" customFormat="false" ht="15" hidden="false" customHeight="false" outlineLevel="0" collapsed="false">
      <c r="A16" s="30"/>
      <c r="B16" s="30"/>
      <c r="C16" s="30"/>
      <c r="D16" s="30"/>
      <c r="E16" s="30"/>
      <c r="F16" s="30"/>
      <c r="G16" s="30"/>
    </row>
    <row r="17" customFormat="false" ht="15" hidden="false" customHeight="false" outlineLevel="0" collapsed="false">
      <c r="A17" s="30"/>
      <c r="B17" s="30"/>
      <c r="C17" s="30"/>
      <c r="D17" s="30"/>
      <c r="E17" s="30"/>
      <c r="F17" s="30"/>
      <c r="G17" s="30"/>
    </row>
    <row r="18" customFormat="false" ht="15" hidden="false" customHeight="false" outlineLevel="0" collapsed="false">
      <c r="A18" s="30"/>
      <c r="B18" s="30"/>
      <c r="C18" s="30"/>
      <c r="D18" s="30"/>
      <c r="E18" s="30"/>
      <c r="F18" s="30"/>
      <c r="G18" s="30"/>
    </row>
    <row r="19" customFormat="false" ht="15" hidden="false" customHeight="false" outlineLevel="0" collapsed="false">
      <c r="A19" s="30"/>
      <c r="B19" s="30"/>
      <c r="C19" s="30"/>
      <c r="D19" s="30"/>
      <c r="E19" s="30"/>
      <c r="F19" s="30"/>
      <c r="G19" s="30"/>
    </row>
    <row r="20" customFormat="false" ht="15" hidden="false" customHeight="false" outlineLevel="0" collapsed="false">
      <c r="A20" s="30"/>
      <c r="B20" s="30"/>
      <c r="C20" s="30"/>
      <c r="D20" s="30"/>
      <c r="E20" s="30"/>
      <c r="F20" s="30"/>
      <c r="G20" s="30"/>
    </row>
    <row r="21" customFormat="false" ht="15" hidden="false" customHeight="false" outlineLevel="0" collapsed="false">
      <c r="A21" s="30"/>
      <c r="B21" s="30"/>
      <c r="C21" s="30"/>
      <c r="D21" s="30"/>
      <c r="E21" s="30"/>
      <c r="F21" s="30"/>
      <c r="G21" s="30"/>
    </row>
    <row r="22" customFormat="false" ht="15" hidden="false" customHeight="false" outlineLevel="0" collapsed="false">
      <c r="A22" s="30"/>
      <c r="B22" s="30"/>
      <c r="C22" s="30"/>
      <c r="D22" s="30"/>
      <c r="E22" s="30"/>
      <c r="F22" s="30"/>
      <c r="G22" s="30"/>
    </row>
    <row r="23" customFormat="false" ht="15" hidden="false" customHeight="false" outlineLevel="0" collapsed="false">
      <c r="A23" s="30"/>
      <c r="B23" s="30"/>
      <c r="C23" s="30"/>
      <c r="D23" s="30"/>
      <c r="E23" s="30"/>
      <c r="F23" s="30"/>
      <c r="G23" s="30"/>
    </row>
    <row r="24" customFormat="false" ht="15" hidden="false" customHeight="false" outlineLevel="0" collapsed="false">
      <c r="A24" s="30"/>
      <c r="B24" s="30"/>
      <c r="C24" s="30"/>
      <c r="D24" s="30"/>
      <c r="E24" s="30"/>
      <c r="F24" s="30"/>
      <c r="G24" s="30"/>
    </row>
    <row r="25" customFormat="false" ht="15" hidden="false" customHeight="false" outlineLevel="0" collapsed="false">
      <c r="A25" s="30"/>
      <c r="B25" s="30"/>
      <c r="C25" s="30"/>
      <c r="D25" s="30"/>
      <c r="E25" s="30"/>
      <c r="F25" s="30"/>
      <c r="G25" s="30"/>
    </row>
    <row r="26" customFormat="false" ht="15" hidden="false" customHeight="false" outlineLevel="0" collapsed="false">
      <c r="A26" s="30"/>
      <c r="B26" s="30"/>
      <c r="C26" s="30"/>
      <c r="D26" s="30"/>
      <c r="E26" s="30"/>
      <c r="F26" s="30"/>
      <c r="G26" s="30"/>
    </row>
    <row r="27" customFormat="false" ht="15" hidden="false" customHeight="false" outlineLevel="0" collapsed="false">
      <c r="A27" s="30"/>
      <c r="B27" s="30"/>
      <c r="C27" s="30"/>
      <c r="D27" s="30"/>
      <c r="E27" s="30"/>
      <c r="F27" s="30"/>
      <c r="G27" s="30"/>
    </row>
    <row r="28" customFormat="false" ht="15" hidden="false" customHeight="false" outlineLevel="0" collapsed="false">
      <c r="A28" s="30"/>
      <c r="B28" s="30"/>
      <c r="C28" s="30"/>
      <c r="D28" s="30"/>
      <c r="E28" s="30"/>
      <c r="F28" s="30"/>
      <c r="G28" s="30"/>
    </row>
    <row r="29" customFormat="false" ht="15" hidden="false" customHeight="false" outlineLevel="0" collapsed="false">
      <c r="A29" s="30"/>
      <c r="B29" s="30"/>
      <c r="C29" s="30"/>
      <c r="D29" s="30"/>
      <c r="E29" s="30"/>
      <c r="F29" s="30"/>
      <c r="G29" s="30"/>
    </row>
    <row r="30" customFormat="false" ht="15" hidden="false" customHeight="false" outlineLevel="0" collapsed="false">
      <c r="A30" s="30"/>
      <c r="B30" s="30"/>
      <c r="C30" s="30"/>
      <c r="D30" s="30"/>
      <c r="E30" s="30"/>
      <c r="F30" s="30"/>
      <c r="G30" s="30"/>
    </row>
    <row r="31" customFormat="false" ht="15" hidden="false" customHeight="false" outlineLevel="0" collapsed="false">
      <c r="A31" s="30"/>
      <c r="B31" s="30"/>
      <c r="C31" s="30"/>
      <c r="D31" s="30"/>
      <c r="E31" s="30"/>
      <c r="F31" s="30"/>
      <c r="G31" s="30"/>
    </row>
    <row r="32" customFormat="false" ht="15" hidden="false" customHeight="false" outlineLevel="0" collapsed="false">
      <c r="A32" s="30"/>
      <c r="B32" s="30"/>
      <c r="C32" s="30"/>
      <c r="D32" s="30"/>
      <c r="E32" s="30"/>
      <c r="F32" s="30"/>
      <c r="G32" s="30"/>
    </row>
    <row r="33" customFormat="false" ht="15" hidden="false" customHeight="false" outlineLevel="0" collapsed="false">
      <c r="A33" s="30"/>
      <c r="B33" s="30"/>
      <c r="C33" s="30"/>
      <c r="D33" s="30"/>
      <c r="E33" s="30"/>
      <c r="F33" s="30"/>
      <c r="G33" s="30"/>
    </row>
    <row r="34" customFormat="false" ht="15" hidden="false" customHeight="false" outlineLevel="0" collapsed="false">
      <c r="A34" s="30"/>
      <c r="B34" s="30"/>
      <c r="C34" s="30"/>
      <c r="D34" s="30"/>
      <c r="E34" s="30"/>
      <c r="F34" s="30"/>
      <c r="G34" s="30"/>
    </row>
    <row r="35" customFormat="false" ht="15" hidden="false" customHeight="false" outlineLevel="0" collapsed="false">
      <c r="A35" s="30"/>
      <c r="B35" s="30"/>
      <c r="C35" s="30"/>
      <c r="D35" s="30"/>
      <c r="E35" s="30"/>
      <c r="F35" s="30"/>
      <c r="G35" s="30"/>
    </row>
    <row r="36" customFormat="false" ht="15" hidden="false" customHeight="false" outlineLevel="0" collapsed="false">
      <c r="A36" s="30"/>
      <c r="B36" s="30"/>
      <c r="C36" s="30"/>
      <c r="D36" s="30"/>
      <c r="E36" s="30"/>
      <c r="F36" s="30"/>
      <c r="G36" s="30"/>
    </row>
    <row r="37" customFormat="false" ht="15" hidden="false" customHeight="false" outlineLevel="0" collapsed="false">
      <c r="A37" s="30"/>
      <c r="B37" s="30"/>
      <c r="C37" s="30"/>
      <c r="D37" s="30"/>
      <c r="E37" s="30"/>
      <c r="F37" s="30"/>
      <c r="G37" s="30"/>
    </row>
    <row r="38" customFormat="false" ht="15" hidden="false" customHeight="false" outlineLevel="0" collapsed="false">
      <c r="A38" s="30"/>
      <c r="B38" s="30"/>
      <c r="C38" s="30"/>
      <c r="D38" s="30"/>
      <c r="E38" s="30"/>
      <c r="F38" s="30"/>
      <c r="G38" s="30"/>
    </row>
    <row r="39" customFormat="false" ht="15" hidden="false" customHeight="false" outlineLevel="0" collapsed="false">
      <c r="A39" s="30"/>
      <c r="B39" s="30"/>
      <c r="C39" s="30"/>
      <c r="D39" s="30"/>
      <c r="E39" s="30"/>
      <c r="F39" s="30"/>
      <c r="G39" s="30"/>
    </row>
    <row r="40" customFormat="false" ht="15" hidden="false" customHeight="false" outlineLevel="0" collapsed="false">
      <c r="A40" s="30"/>
      <c r="B40" s="30"/>
      <c r="C40" s="30"/>
      <c r="D40" s="30"/>
      <c r="E40" s="30"/>
      <c r="F40" s="30"/>
      <c r="G40" s="30"/>
    </row>
    <row r="41" customFormat="false" ht="15" hidden="false" customHeight="false" outlineLevel="0" collapsed="false">
      <c r="A41" s="30"/>
      <c r="B41" s="30"/>
      <c r="C41" s="30"/>
      <c r="D41" s="30"/>
      <c r="E41" s="30"/>
      <c r="F41" s="30"/>
      <c r="G41" s="30"/>
    </row>
    <row r="42" customFormat="false" ht="15" hidden="false" customHeight="false" outlineLevel="0" collapsed="false">
      <c r="A42" s="30"/>
      <c r="B42" s="30"/>
      <c r="C42" s="30"/>
      <c r="D42" s="30"/>
      <c r="E42" s="30"/>
      <c r="F42" s="30"/>
      <c r="G42" s="30"/>
    </row>
    <row r="43" customFormat="false" ht="15" hidden="false" customHeight="false" outlineLevel="0" collapsed="false">
      <c r="A43" s="30"/>
      <c r="B43" s="30"/>
      <c r="C43" s="30"/>
      <c r="D43" s="30"/>
      <c r="E43" s="30"/>
      <c r="F43" s="30"/>
      <c r="G43" s="30"/>
    </row>
    <row r="44" customFormat="false" ht="15" hidden="false" customHeight="false" outlineLevel="0" collapsed="false">
      <c r="A44" s="30"/>
      <c r="B44" s="30"/>
      <c r="C44" s="30"/>
      <c r="D44" s="30"/>
      <c r="E44" s="30"/>
      <c r="F44" s="30"/>
      <c r="G44" s="30"/>
    </row>
    <row r="45" customFormat="false" ht="15" hidden="false" customHeight="false" outlineLevel="0" collapsed="false">
      <c r="A45" s="30"/>
      <c r="B45" s="30"/>
      <c r="C45" s="30"/>
      <c r="D45" s="30"/>
      <c r="E45" s="30"/>
      <c r="F45" s="30"/>
      <c r="G45" s="30"/>
    </row>
    <row r="46" customFormat="false" ht="15" hidden="false" customHeight="false" outlineLevel="0" collapsed="false">
      <c r="A46" s="30"/>
      <c r="B46" s="30"/>
      <c r="C46" s="30"/>
      <c r="D46" s="30"/>
      <c r="E46" s="30"/>
      <c r="F46" s="30"/>
      <c r="G46" s="30"/>
    </row>
    <row r="47" customFormat="false" ht="15" hidden="false" customHeight="false" outlineLevel="0" collapsed="false">
      <c r="A47" s="30"/>
      <c r="B47" s="30"/>
      <c r="C47" s="30"/>
      <c r="D47" s="30"/>
      <c r="E47" s="30"/>
      <c r="F47" s="30"/>
      <c r="G47" s="30"/>
    </row>
    <row r="48" customFormat="false" ht="15" hidden="false" customHeight="false" outlineLevel="0" collapsed="false">
      <c r="A48" s="30"/>
      <c r="B48" s="30"/>
      <c r="C48" s="30"/>
      <c r="D48" s="30"/>
      <c r="E48" s="30"/>
      <c r="F48" s="30"/>
      <c r="G48" s="30"/>
    </row>
    <row r="49" customFormat="false" ht="15" hidden="false" customHeight="false" outlineLevel="0" collapsed="false">
      <c r="A49" s="30"/>
      <c r="B49" s="30"/>
      <c r="C49" s="30"/>
      <c r="D49" s="30"/>
      <c r="E49" s="30"/>
      <c r="F49" s="30"/>
      <c r="G49" s="30"/>
    </row>
    <row r="50" customFormat="false" ht="15" hidden="false" customHeight="false" outlineLevel="0" collapsed="false">
      <c r="A50" s="30"/>
      <c r="B50" s="30"/>
      <c r="C50" s="30"/>
      <c r="D50" s="30"/>
      <c r="E50" s="30"/>
      <c r="F50" s="30"/>
      <c r="G50" s="30"/>
    </row>
    <row r="51" customFormat="false" ht="15" hidden="false" customHeight="false" outlineLevel="0" collapsed="false">
      <c r="A51" s="30"/>
      <c r="B51" s="30"/>
      <c r="C51" s="30"/>
      <c r="D51" s="30"/>
      <c r="E51" s="30"/>
      <c r="F51" s="30"/>
      <c r="G51" s="30"/>
    </row>
    <row r="52" customFormat="false" ht="15" hidden="false" customHeight="false" outlineLevel="0" collapsed="false">
      <c r="A52" s="30"/>
      <c r="B52" s="30"/>
      <c r="C52" s="30"/>
      <c r="D52" s="30"/>
      <c r="E52" s="30"/>
      <c r="F52" s="30"/>
      <c r="G52" s="30"/>
    </row>
    <row r="53" customFormat="false" ht="15" hidden="false" customHeight="false" outlineLevel="0" collapsed="false">
      <c r="A53" s="30"/>
      <c r="B53" s="30"/>
      <c r="C53" s="30"/>
      <c r="D53" s="30"/>
      <c r="E53" s="30"/>
      <c r="F53" s="30"/>
      <c r="G53" s="30"/>
    </row>
    <row r="54" customFormat="false" ht="15" hidden="false" customHeight="false" outlineLevel="0" collapsed="false">
      <c r="A54" s="30"/>
      <c r="B54" s="30"/>
      <c r="C54" s="30"/>
      <c r="D54" s="30"/>
      <c r="E54" s="30"/>
      <c r="F54" s="30"/>
      <c r="G54" s="30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2026-06-19T01:02:19Z</dcterms:created>
  <dc:creator>openpyxl</dc:creator>
  <dc:description/>
  <dc:language>en-US</dc:language>
  <cp:lastModifiedBy/>
  <dcterms:modified xsi:type="dcterms:W3CDTF">2026-06-19T02:42:21Z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