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D Log" sheetId="1" state="visible" r:id="rId3"/>
    <sheet name="Dashboard" sheetId="2" state="visible" r:id="rId4"/>
    <sheet name="CPD Rules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<sst xmlns="http://schemas.openxmlformats.org/spreadsheetml/2006/main" count="316" uniqueCount="139">
  <si>
    <t xml:space="preserve">CPD Activity Log  —  Shawn Yu</t>
  </si>
  <si>
    <t xml:space="preserve">Date</t>
  </si>
  <si>
    <t xml:space="preserve">Activity Description</t>
  </si>
  <si>
    <t xml:space="preserve">Provider / Source</t>
  </si>
  <si>
    <t xml:space="preserve">Type
(Guided / Self-Study)</t>
  </si>
  <si>
    <t xml:space="preserve">Category
(Technical / Prof. / Other)</t>
  </si>
  <si>
    <t xml:space="preserve">Hours</t>
  </si>
  <si>
    <t xml:space="preserve">Professionalism?
(Y/N)</t>
  </si>
  <si>
    <t xml:space="preserve">CIA Compliant?
(Y/N)</t>
  </si>
  <si>
    <t xml:space="preserve">Notes</t>
  </si>
  <si>
    <t xml:space="preserve">Logged By Agent?
(Y/N)</t>
  </si>
  <si>
    <t xml:space="preserve">2025-05-28</t>
  </si>
  <si>
    <t xml:space="preserve">USNT PT% Deep Div Training</t>
  </si>
  <si>
    <t xml:space="preserve">Meeting</t>
  </si>
  <si>
    <t xml:space="preserve">Guided</t>
  </si>
  <si>
    <t xml:space="preserve">Technical</t>
  </si>
  <si>
    <t xml:space="preserve">N</t>
  </si>
  <si>
    <t xml:space="preserve">Y</t>
  </si>
  <si>
    <t xml:space="preserve">2025-05-29</t>
  </si>
  <si>
    <t xml:space="preserve">USNT VUL OCI Deep Div</t>
  </si>
  <si>
    <t xml:space="preserve">2025-06-10</t>
  </si>
  <si>
    <t xml:space="preserve">USNT Deep Dive ModCo Reporting</t>
  </si>
  <si>
    <t xml:space="preserve">2025-08-07</t>
  </si>
  <si>
    <t xml:space="preserve">GainWave: A Python Tool for Basis Change — https://mfc.sharepoint.com/sites/AMC/SitePages/GainWave--A-Python-Tool-for.aspx</t>
  </si>
  <si>
    <t xml:space="preserve">2025-08-13</t>
  </si>
  <si>
    <t xml:space="preserve">AAC &amp; Ledger Backfeeds</t>
  </si>
  <si>
    <t xml:space="preserve">Segfund Product Pricing Report 2024</t>
  </si>
  <si>
    <t xml:space="preserve">Reading</t>
  </si>
  <si>
    <t xml:space="preserve">Self-Study</t>
  </si>
  <si>
    <t xml:space="preserve">2025-08-27</t>
  </si>
  <si>
    <t xml:space="preserve">Canadian Segfund Training</t>
  </si>
  <si>
    <t xml:space="preserve">Speaker: Leon Li | Location: Toronto</t>
  </si>
  <si>
    <t xml:space="preserve">2025-08-28</t>
  </si>
  <si>
    <t xml:space="preserve">Video Training on Segfund</t>
  </si>
  <si>
    <t xml:space="preserve">eLearning</t>
  </si>
  <si>
    <t xml:space="preserve">2025-10-03</t>
  </si>
  <si>
    <t xml:space="preserve">Looking Back — Moving Forward: Entrepreneurship in the Actuarial Profession Topic Call "</t>
  </si>
  <si>
    <t xml:space="preserve">Society of Actuaries</t>
  </si>
  <si>
    <t xml:space="preserve">Mortality by Socioeconomic Decile Webcast</t>
  </si>
  <si>
    <t xml:space="preserve">Speaker: "Clark | Location: Kara;Barbieri</t>
  </si>
  <si>
    <t xml:space="preserve">Understanding Bias in Actuarial Data-Driven Decision Making Webcast</t>
  </si>
  <si>
    <t xml:space="preserve">Speaker: "Creighton | Location: Kaitlin;Huang</t>
  </si>
  <si>
    <t xml:space="preserve">2025-10-29</t>
  </si>
  <si>
    <t xml:space="preserve">LICAT25 Risk Capital Training</t>
  </si>
  <si>
    <t xml:space="preserve">Monthly Pricing Meeting - Training on LICAT</t>
  </si>
  <si>
    <t xml:space="preserve">Location: Toronto</t>
  </si>
  <si>
    <t xml:space="preserve">2025-11-07</t>
  </si>
  <si>
    <t xml:space="preserve">Behind The Claim: Long-Term Care Caregiving Webcast</t>
  </si>
  <si>
    <t xml:space="preserve">Speaker: "Iwatsubo | Location: William;Sheahon</t>
  </si>
  <si>
    <t xml:space="preserve">2025-11-10</t>
  </si>
  <si>
    <t xml:space="preserve">The Actuary as an Arbitrator Webcast</t>
  </si>
  <si>
    <t xml:space="preserve">Speaker: "Fann | Location: Gregory;Miller</t>
  </si>
  <si>
    <t xml:space="preserve">2025-11-11</t>
  </si>
  <si>
    <t xml:space="preserve">POVA 2025 - Day 1</t>
  </si>
  <si>
    <t xml:space="preserve">2025-11-12</t>
  </si>
  <si>
    <t xml:space="preserve">POVA 2025 - Day 2</t>
  </si>
  <si>
    <t xml:space="preserve">2025-12-11</t>
  </si>
  <si>
    <t xml:space="preserve">Training on Canadian Seg Fund Pricing - Monthly Pricing Meeting</t>
  </si>
  <si>
    <t xml:space="preserve">2026-01-08</t>
  </si>
  <si>
    <t xml:space="preserve">Monthly Pricing Meeting - Training on Par and Pricing Review</t>
  </si>
  <si>
    <t xml:space="preserve">2026-01-31</t>
  </si>
  <si>
    <t xml:space="preserve">Financial Intelligence</t>
  </si>
  <si>
    <t xml:space="preserve">2026-03-12</t>
  </si>
  <si>
    <t xml:space="preserve">March 2026 Monthly Pricing Meeting — Monthly Pricing Meeting with Presentation regarding Insurance and Annuity Compensation Structure</t>
  </si>
  <si>
    <t xml:space="preserve">Location: Waterloo</t>
  </si>
  <si>
    <t xml:space="preserve">2026-03-31</t>
  </si>
  <si>
    <t xml:space="preserve">Book Psychology of Money</t>
  </si>
  <si>
    <t xml:space="preserve">Book How to Win Friends &amp; Influence People</t>
  </si>
  <si>
    <t xml:space="preserve">2026-04-09</t>
  </si>
  <si>
    <t xml:space="preserve">Product Risk Management Training - Monthly Pricing Meeting</t>
  </si>
  <si>
    <t xml:space="preserve">2026-04-30</t>
  </si>
  <si>
    <t xml:space="preserve">Book The Innovator's Dilemma</t>
  </si>
  <si>
    <t xml:space="preserve">Book Bold Move</t>
  </si>
  <si>
    <t xml:space="preserve">2026-05-06</t>
  </si>
  <si>
    <t xml:space="preserve">Shariah-Compliant Finance: Concepts and Governance</t>
  </si>
  <si>
    <t xml:space="preserve">2026-05-08</t>
  </si>
  <si>
    <t xml:space="preserve">AI Agent Introduction</t>
  </si>
  <si>
    <t xml:space="preserve">2026-05-09</t>
  </si>
  <si>
    <t xml:space="preserve">Book: Start with Why</t>
  </si>
  <si>
    <t xml:space="preserve">CPD Progress Dashboard  —  Shawn Yu</t>
  </si>
  <si>
    <t xml:space="preserve">CIA Qualification Standard  |  Rolling Two-Year Window</t>
  </si>
  <si>
    <t xml:space="preserve">Metric</t>
  </si>
  <si>
    <t xml:space="preserve">Your Total</t>
  </si>
  <si>
    <t xml:space="preserve">Minimum Required</t>
  </si>
  <si>
    <t xml:space="preserve">Status</t>
  </si>
  <si>
    <t xml:space="preserve">CIA CPD Requirements (Two-Year Rolling Window)</t>
  </si>
  <si>
    <t xml:space="preserve">Total Hours (Guided + Self-Study)</t>
  </si>
  <si>
    <t xml:space="preserve">80 hrs</t>
  </si>
  <si>
    <t xml:space="preserve">Guided CPD Hours</t>
  </si>
  <si>
    <t xml:space="preserve">30 hrs min</t>
  </si>
  <si>
    <t xml:space="preserve">Self-Study Hours</t>
  </si>
  <si>
    <t xml:space="preserve">No min</t>
  </si>
  <si>
    <t xml:space="preserve">—</t>
  </si>
  <si>
    <t xml:space="preserve">Professionalism Hours</t>
  </si>
  <si>
    <t xml:space="preserve">Check CIA</t>
  </si>
  <si>
    <t xml:space="preserve">Hours Still Needed</t>
  </si>
  <si>
    <t xml:space="preserve">Total Hours Still Needed</t>
  </si>
  <si>
    <t xml:space="preserve">Target: 80 hrs</t>
  </si>
  <si>
    <t xml:space="preserve">Guided Hours Still Needed</t>
  </si>
  <si>
    <t xml:space="preserve">Minimum: 30 hrs</t>
  </si>
  <si>
    <t xml:space="preserve">SOA Compliance Note</t>
  </si>
  <si>
    <t xml:space="preserve">✓  Meeting CIA requirements automatically satisfies SOA CPD requirement for dual members.</t>
  </si>
  <si>
    <t xml:space="preserve">About</t>
  </si>
  <si>
    <t xml:space="preserve">Built by Shawn Yu, FSA  |  CPD Agent v1.0  |  For actuaries, by an actuary</t>
  </si>
  <si>
    <t xml:space="preserve">CIA CPD Rules — Quick Reference</t>
  </si>
  <si>
    <t xml:space="preserve">REQUIREMENT</t>
  </si>
  <si>
    <t xml:space="preserve">DETAIL</t>
  </si>
  <si>
    <t xml:space="preserve">Total Hours (2-year rolling)</t>
  </si>
  <si>
    <t xml:space="preserve">80 hours minimum (Guided + Self-Study combined)</t>
  </si>
  <si>
    <t xml:space="preserve">Guided CPD minimum</t>
  </si>
  <si>
    <t xml:space="preserve">30 hours minimum out of 80</t>
  </si>
  <si>
    <t xml:space="preserve">No minimum — counts toward the 80 hr total</t>
  </si>
  <si>
    <t xml:space="preserve">Professionalism</t>
  </si>
  <si>
    <t xml:space="preserve">Mandatory component — must include professionalism topics</t>
  </si>
  <si>
    <t xml:space="preserve">Reporting cycle</t>
  </si>
  <si>
    <t xml:space="preserve">Annual compliance statement required</t>
  </si>
  <si>
    <t xml:space="preserve">Record keeping</t>
  </si>
  <si>
    <t xml:space="preserve">Keep records for 5 years in case of audit</t>
  </si>
  <si>
    <t xml:space="preserve">SOA dual members</t>
  </si>
  <si>
    <t xml:space="preserve">CIA compliance = automatic SOA compliance</t>
  </si>
  <si>
    <t xml:space="preserve">WHAT COUNTS AS GUIDED?</t>
  </si>
  <si>
    <t xml:space="preserve">EXAMPLES</t>
  </si>
  <si>
    <t xml:space="preserve">Live webinars with Q&amp;A</t>
  </si>
  <si>
    <t xml:space="preserve">SOA/CIA webinars, industry presentations</t>
  </si>
  <si>
    <t xml:space="preserve">In-person seminars/conferences</t>
  </si>
  <si>
    <t xml:space="preserve">CIA Annual Meeting, SOA meetings</t>
  </si>
  <si>
    <t xml:space="preserve">Recorded webinars (CIA allows)</t>
  </si>
  <si>
    <t xml:space="preserve">Replays of sessions that had live Q&amp;A</t>
  </si>
  <si>
    <t xml:space="preserve">Employer-sponsored sessions</t>
  </si>
  <si>
    <t xml:space="preserve">Internal training with discussion/Q&amp;A</t>
  </si>
  <si>
    <t xml:space="preserve">WHAT COUNTS AS SELF-STUDY?</t>
  </si>
  <si>
    <t xml:space="preserve">Reading professional publications</t>
  </si>
  <si>
    <t xml:space="preserve">CIA/SOA newsletters, research papers</t>
  </si>
  <si>
    <t xml:space="preserve">Online courses (no live Q&amp;A)</t>
  </si>
  <si>
    <t xml:space="preserve">Self-paced e-learning modules</t>
  </si>
  <si>
    <t xml:space="preserve">Textbooks / technical reading</t>
  </si>
  <si>
    <t xml:space="preserve">IFRS 17 guides, actuarial standards</t>
  </si>
  <si>
    <t xml:space="preserve">Exam study (pre-fellowship)</t>
  </si>
  <si>
    <t xml:space="preserve">Study hours for actuarial exams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</si>
</sst>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0"/>
      <color rgb="FF1D9E75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E1F5EE"/>
        <bgColor rgb="FFF1F5F9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1F5EE"/>
      </patternFill>
    </fill>
    <fill>
      <patternFill patternType="solid">
        <fgColor rgb="FF1D9E75"/>
        <bgColor rgb="FF008080"/>
      </patternFill>
    </fill>
    <fill>
      <patternFill patternType="solid">
        <fgColor rgb="FFFAEEDA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A6B"/>
      <rgbColor rgb="FF1D9E75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8" min="7" style="1" width="12"/>
    <col collapsed="false" customWidth="true" hidden="false" outlineLevel="0" max="9" min="9" style="1" width="25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42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8" hidden="false" customHeight="true" outlineLevel="0" collapsed="false">
      <c r="A3" s="4" t="s">
        <v>11</v>
      </c>
      <c r="B3" s="5" t="s">
        <v>12</v>
      </c>
      <c r="C3" s="5" t="s">
        <v>13</v>
      </c>
      <c r="D3" s="4" t="s">
        <v>14</v>
      </c>
      <c r="E3" s="4" t="s">
        <v>15</v>
      </c>
      <c r="F3" s="6" t="n">
        <v>1</v>
      </c>
      <c r="G3" s="4" t="s">
        <v>16</v>
      </c>
      <c r="H3" s="4" t="s">
        <v>17</v>
      </c>
      <c r="I3" s="5"/>
      <c r="J3" s="4" t="s">
        <v>17</v>
      </c>
    </row>
    <row r="4" customFormat="false" ht="18" hidden="false" customHeight="true" outlineLevel="0" collapsed="false">
      <c r="A4" s="4" t="s">
        <v>18</v>
      </c>
      <c r="B4" s="5" t="s">
        <v>19</v>
      </c>
      <c r="C4" s="5" t="s">
        <v>13</v>
      </c>
      <c r="D4" s="4" t="s">
        <v>14</v>
      </c>
      <c r="E4" s="4" t="s">
        <v>15</v>
      </c>
      <c r="F4" s="6" t="n">
        <v>1</v>
      </c>
      <c r="G4" s="4" t="s">
        <v>16</v>
      </c>
      <c r="H4" s="4" t="s">
        <v>17</v>
      </c>
      <c r="I4" s="5"/>
      <c r="J4" s="4" t="s">
        <v>17</v>
      </c>
    </row>
    <row r="5" customFormat="false" ht="18" hidden="false" customHeight="true" outlineLevel="0" collapsed="false">
      <c r="A5" s="4" t="s">
        <v>20</v>
      </c>
      <c r="B5" s="5" t="s">
        <v>21</v>
      </c>
      <c r="C5" s="5" t="s">
        <v>13</v>
      </c>
      <c r="D5" s="4" t="s">
        <v>14</v>
      </c>
      <c r="E5" s="4" t="s">
        <v>15</v>
      </c>
      <c r="F5" s="6" t="n">
        <v>1</v>
      </c>
      <c r="G5" s="4" t="s">
        <v>16</v>
      </c>
      <c r="H5" s="4" t="s">
        <v>17</v>
      </c>
      <c r="I5" s="5"/>
      <c r="J5" s="4" t="s">
        <v>17</v>
      </c>
    </row>
    <row r="6" customFormat="false" ht="18" hidden="false" customHeight="true" outlineLevel="0" collapsed="false">
      <c r="A6" s="4" t="s">
        <v>22</v>
      </c>
      <c r="B6" s="5" t="s">
        <v>23</v>
      </c>
      <c r="C6" s="5" t="s">
        <v>13</v>
      </c>
      <c r="D6" s="4" t="s">
        <v>14</v>
      </c>
      <c r="E6" s="4" t="s">
        <v>15</v>
      </c>
      <c r="F6" s="6" t="n">
        <v>1</v>
      </c>
      <c r="G6" s="4" t="s">
        <v>16</v>
      </c>
      <c r="H6" s="4" t="s">
        <v>17</v>
      </c>
      <c r="I6" s="5"/>
      <c r="J6" s="4" t="s">
        <v>17</v>
      </c>
    </row>
    <row r="7" customFormat="false" ht="18" hidden="false" customHeight="true" outlineLevel="0" collapsed="false">
      <c r="A7" s="4" t="s">
        <v>24</v>
      </c>
      <c r="B7" s="5" t="s">
        <v>25</v>
      </c>
      <c r="C7" s="5" t="s">
        <v>13</v>
      </c>
      <c r="D7" s="4" t="s">
        <v>14</v>
      </c>
      <c r="E7" s="4" t="s">
        <v>15</v>
      </c>
      <c r="F7" s="6" t="n">
        <v>1</v>
      </c>
      <c r="G7" s="4" t="s">
        <v>16</v>
      </c>
      <c r="H7" s="4" t="s">
        <v>17</v>
      </c>
      <c r="I7" s="5"/>
      <c r="J7" s="4" t="s">
        <v>17</v>
      </c>
    </row>
    <row r="8" customFormat="false" ht="18" hidden="false" customHeight="true" outlineLevel="0" collapsed="false">
      <c r="A8" s="7" t="s">
        <v>24</v>
      </c>
      <c r="B8" s="8" t="s">
        <v>26</v>
      </c>
      <c r="C8" s="8" t="s">
        <v>27</v>
      </c>
      <c r="D8" s="7" t="s">
        <v>28</v>
      </c>
      <c r="E8" s="7" t="s">
        <v>15</v>
      </c>
      <c r="F8" s="9" t="n">
        <v>4</v>
      </c>
      <c r="G8" s="7" t="s">
        <v>16</v>
      </c>
      <c r="H8" s="7" t="s">
        <v>17</v>
      </c>
      <c r="I8" s="8"/>
      <c r="J8" s="7" t="s">
        <v>17</v>
      </c>
    </row>
    <row r="9" customFormat="false" ht="18" hidden="false" customHeight="true" outlineLevel="0" collapsed="false">
      <c r="A9" s="4" t="s">
        <v>29</v>
      </c>
      <c r="B9" s="5" t="s">
        <v>30</v>
      </c>
      <c r="C9" s="5" t="s">
        <v>13</v>
      </c>
      <c r="D9" s="4" t="s">
        <v>14</v>
      </c>
      <c r="E9" s="4" t="s">
        <v>15</v>
      </c>
      <c r="F9" s="6" t="n">
        <v>4</v>
      </c>
      <c r="G9" s="4" t="s">
        <v>16</v>
      </c>
      <c r="H9" s="4" t="s">
        <v>17</v>
      </c>
      <c r="I9" s="5" t="s">
        <v>31</v>
      </c>
      <c r="J9" s="4" t="s">
        <v>17</v>
      </c>
    </row>
    <row r="10" customFormat="false" ht="18" hidden="false" customHeight="true" outlineLevel="0" collapsed="false">
      <c r="A10" s="7" t="s">
        <v>32</v>
      </c>
      <c r="B10" s="8" t="s">
        <v>33</v>
      </c>
      <c r="C10" s="8" t="s">
        <v>34</v>
      </c>
      <c r="D10" s="7" t="s">
        <v>28</v>
      </c>
      <c r="E10" s="7" t="s">
        <v>15</v>
      </c>
      <c r="F10" s="9" t="n">
        <v>11</v>
      </c>
      <c r="G10" s="7" t="s">
        <v>16</v>
      </c>
      <c r="H10" s="7" t="s">
        <v>17</v>
      </c>
      <c r="I10" s="8"/>
      <c r="J10" s="7" t="s">
        <v>17</v>
      </c>
    </row>
    <row r="11" customFormat="false" ht="18" hidden="false" customHeight="true" outlineLevel="0" collapsed="false">
      <c r="A11" s="7" t="s">
        <v>35</v>
      </c>
      <c r="B11" s="8" t="s">
        <v>36</v>
      </c>
      <c r="C11" s="8" t="s">
        <v>37</v>
      </c>
      <c r="D11" s="7" t="s">
        <v>28</v>
      </c>
      <c r="E11" s="7" t="s">
        <v>15</v>
      </c>
      <c r="F11" s="9" t="n">
        <v>0</v>
      </c>
      <c r="G11" s="7" t="s">
        <v>16</v>
      </c>
      <c r="H11" s="7" t="s">
        <v>17</v>
      </c>
      <c r="I11" s="8"/>
      <c r="J11" s="7" t="s">
        <v>17</v>
      </c>
    </row>
    <row r="12" customFormat="false" ht="18" hidden="false" customHeight="true" outlineLevel="0" collapsed="false">
      <c r="A12" s="7" t="s">
        <v>35</v>
      </c>
      <c r="B12" s="8" t="s">
        <v>38</v>
      </c>
      <c r="C12" s="8" t="s">
        <v>37</v>
      </c>
      <c r="D12" s="7" t="s">
        <v>28</v>
      </c>
      <c r="E12" s="7" t="s">
        <v>15</v>
      </c>
      <c r="F12" s="9" t="n">
        <v>0</v>
      </c>
      <c r="G12" s="7" t="s">
        <v>16</v>
      </c>
      <c r="H12" s="7" t="s">
        <v>17</v>
      </c>
      <c r="I12" s="8" t="s">
        <v>39</v>
      </c>
      <c r="J12" s="7" t="s">
        <v>17</v>
      </c>
    </row>
    <row r="13" customFormat="false" ht="18" hidden="false" customHeight="true" outlineLevel="0" collapsed="false">
      <c r="A13" s="7" t="s">
        <v>35</v>
      </c>
      <c r="B13" s="8" t="s">
        <v>40</v>
      </c>
      <c r="C13" s="8" t="s">
        <v>37</v>
      </c>
      <c r="D13" s="7" t="s">
        <v>28</v>
      </c>
      <c r="E13" s="7" t="s">
        <v>15</v>
      </c>
      <c r="F13" s="9" t="n">
        <v>0</v>
      </c>
      <c r="G13" s="7" t="s">
        <v>16</v>
      </c>
      <c r="H13" s="7" t="s">
        <v>17</v>
      </c>
      <c r="I13" s="8" t="s">
        <v>41</v>
      </c>
      <c r="J13" s="7" t="s">
        <v>17</v>
      </c>
    </row>
    <row r="14" customFormat="false" ht="18" hidden="false" customHeight="true" outlineLevel="0" collapsed="false">
      <c r="A14" s="4" t="s">
        <v>42</v>
      </c>
      <c r="B14" s="5" t="s">
        <v>43</v>
      </c>
      <c r="C14" s="5" t="s">
        <v>13</v>
      </c>
      <c r="D14" s="4" t="s">
        <v>14</v>
      </c>
      <c r="E14" s="4" t="s">
        <v>15</v>
      </c>
      <c r="F14" s="6" t="n">
        <v>1</v>
      </c>
      <c r="G14" s="4" t="s">
        <v>16</v>
      </c>
      <c r="H14" s="4" t="s">
        <v>17</v>
      </c>
      <c r="I14" s="5"/>
      <c r="J14" s="4" t="s">
        <v>17</v>
      </c>
    </row>
    <row r="15" customFormat="false" ht="18" hidden="false" customHeight="true" outlineLevel="0" collapsed="false">
      <c r="A15" s="4" t="s">
        <v>42</v>
      </c>
      <c r="B15" s="5" t="s">
        <v>44</v>
      </c>
      <c r="C15" s="5" t="s">
        <v>13</v>
      </c>
      <c r="D15" s="4" t="s">
        <v>14</v>
      </c>
      <c r="E15" s="4" t="s">
        <v>15</v>
      </c>
      <c r="F15" s="6" t="n">
        <v>2</v>
      </c>
      <c r="G15" s="4" t="s">
        <v>16</v>
      </c>
      <c r="H15" s="4" t="s">
        <v>17</v>
      </c>
      <c r="I15" s="5" t="s">
        <v>45</v>
      </c>
      <c r="J15" s="4" t="s">
        <v>17</v>
      </c>
    </row>
    <row r="16" customFormat="false" ht="18" hidden="false" customHeight="true" outlineLevel="0" collapsed="false">
      <c r="A16" s="7" t="s">
        <v>46</v>
      </c>
      <c r="B16" s="8" t="s">
        <v>47</v>
      </c>
      <c r="C16" s="8" t="s">
        <v>37</v>
      </c>
      <c r="D16" s="7" t="s">
        <v>28</v>
      </c>
      <c r="E16" s="7" t="s">
        <v>15</v>
      </c>
      <c r="F16" s="9" t="n">
        <v>0</v>
      </c>
      <c r="G16" s="7" t="s">
        <v>16</v>
      </c>
      <c r="H16" s="7" t="s">
        <v>17</v>
      </c>
      <c r="I16" s="8" t="s">
        <v>48</v>
      </c>
      <c r="J16" s="7" t="s">
        <v>17</v>
      </c>
    </row>
    <row r="17" customFormat="false" ht="18" hidden="false" customHeight="true" outlineLevel="0" collapsed="false">
      <c r="A17" s="7" t="s">
        <v>49</v>
      </c>
      <c r="B17" s="8" t="s">
        <v>50</v>
      </c>
      <c r="C17" s="8" t="s">
        <v>37</v>
      </c>
      <c r="D17" s="7" t="s">
        <v>28</v>
      </c>
      <c r="E17" s="7" t="s">
        <v>15</v>
      </c>
      <c r="F17" s="9" t="n">
        <v>0</v>
      </c>
      <c r="G17" s="7" t="s">
        <v>16</v>
      </c>
      <c r="H17" s="7" t="s">
        <v>17</v>
      </c>
      <c r="I17" s="8" t="s">
        <v>51</v>
      </c>
      <c r="J17" s="7" t="s">
        <v>17</v>
      </c>
    </row>
    <row r="18" customFormat="false" ht="18" hidden="false" customHeight="true" outlineLevel="0" collapsed="false">
      <c r="A18" s="4" t="s">
        <v>52</v>
      </c>
      <c r="B18" s="5" t="s">
        <v>53</v>
      </c>
      <c r="C18" s="5" t="s">
        <v>13</v>
      </c>
      <c r="D18" s="4" t="s">
        <v>14</v>
      </c>
      <c r="E18" s="4" t="s">
        <v>15</v>
      </c>
      <c r="F18" s="6" t="n">
        <v>6</v>
      </c>
      <c r="G18" s="4" t="s">
        <v>16</v>
      </c>
      <c r="H18" s="4" t="s">
        <v>17</v>
      </c>
      <c r="I18" s="5"/>
      <c r="J18" s="4" t="s">
        <v>17</v>
      </c>
    </row>
    <row r="19" customFormat="false" ht="18" hidden="false" customHeight="true" outlineLevel="0" collapsed="false">
      <c r="A19" s="4" t="s">
        <v>54</v>
      </c>
      <c r="B19" s="5" t="s">
        <v>55</v>
      </c>
      <c r="C19" s="5" t="s">
        <v>13</v>
      </c>
      <c r="D19" s="4" t="s">
        <v>14</v>
      </c>
      <c r="E19" s="4" t="s">
        <v>15</v>
      </c>
      <c r="F19" s="6" t="n">
        <v>6</v>
      </c>
      <c r="G19" s="4" t="s">
        <v>16</v>
      </c>
      <c r="H19" s="4" t="s">
        <v>17</v>
      </c>
      <c r="I19" s="5"/>
      <c r="J19" s="4" t="s">
        <v>17</v>
      </c>
    </row>
    <row r="20" customFormat="false" ht="18" hidden="false" customHeight="true" outlineLevel="0" collapsed="false">
      <c r="A20" s="4" t="s">
        <v>56</v>
      </c>
      <c r="B20" s="5" t="s">
        <v>57</v>
      </c>
      <c r="C20" s="5" t="s">
        <v>13</v>
      </c>
      <c r="D20" s="4" t="s">
        <v>14</v>
      </c>
      <c r="E20" s="4" t="s">
        <v>15</v>
      </c>
      <c r="F20" s="6" t="n">
        <v>2</v>
      </c>
      <c r="G20" s="4" t="s">
        <v>16</v>
      </c>
      <c r="H20" s="4" t="s">
        <v>17</v>
      </c>
      <c r="I20" s="5"/>
      <c r="J20" s="4" t="s">
        <v>17</v>
      </c>
    </row>
    <row r="21" customFormat="false" ht="18" hidden="false" customHeight="true" outlineLevel="0" collapsed="false">
      <c r="A21" s="4" t="s">
        <v>58</v>
      </c>
      <c r="B21" s="5" t="s">
        <v>59</v>
      </c>
      <c r="C21" s="5" t="s">
        <v>13</v>
      </c>
      <c r="D21" s="4" t="s">
        <v>14</v>
      </c>
      <c r="E21" s="4" t="s">
        <v>15</v>
      </c>
      <c r="F21" s="6" t="n">
        <v>2</v>
      </c>
      <c r="G21" s="4" t="s">
        <v>16</v>
      </c>
      <c r="H21" s="4" t="s">
        <v>17</v>
      </c>
      <c r="I21" s="5"/>
      <c r="J21" s="4" t="s">
        <v>17</v>
      </c>
    </row>
    <row r="22" customFormat="false" ht="18" hidden="false" customHeight="true" outlineLevel="0" collapsed="false">
      <c r="A22" s="7" t="s">
        <v>60</v>
      </c>
      <c r="B22" s="8" t="s">
        <v>61</v>
      </c>
      <c r="C22" s="8" t="s">
        <v>27</v>
      </c>
      <c r="D22" s="7" t="s">
        <v>28</v>
      </c>
      <c r="E22" s="7" t="s">
        <v>15</v>
      </c>
      <c r="F22" s="9" t="n">
        <v>5.83</v>
      </c>
      <c r="G22" s="7" t="s">
        <v>16</v>
      </c>
      <c r="H22" s="7" t="s">
        <v>17</v>
      </c>
      <c r="I22" s="8"/>
      <c r="J22" s="7" t="s">
        <v>17</v>
      </c>
    </row>
    <row r="23" customFormat="false" ht="18" hidden="false" customHeight="true" outlineLevel="0" collapsed="false">
      <c r="A23" s="4" t="s">
        <v>62</v>
      </c>
      <c r="B23" s="5" t="s">
        <v>63</v>
      </c>
      <c r="C23" s="5" t="s">
        <v>13</v>
      </c>
      <c r="D23" s="4" t="s">
        <v>14</v>
      </c>
      <c r="E23" s="4" t="s">
        <v>15</v>
      </c>
      <c r="F23" s="6" t="n">
        <v>2</v>
      </c>
      <c r="G23" s="4" t="s">
        <v>16</v>
      </c>
      <c r="H23" s="4" t="s">
        <v>17</v>
      </c>
      <c r="I23" s="5" t="s">
        <v>64</v>
      </c>
      <c r="J23" s="4" t="s">
        <v>17</v>
      </c>
    </row>
    <row r="24" customFormat="false" ht="18" hidden="false" customHeight="true" outlineLevel="0" collapsed="false">
      <c r="A24" s="7" t="s">
        <v>65</v>
      </c>
      <c r="B24" s="8" t="s">
        <v>66</v>
      </c>
      <c r="C24" s="8" t="s">
        <v>27</v>
      </c>
      <c r="D24" s="7" t="s">
        <v>28</v>
      </c>
      <c r="E24" s="7" t="s">
        <v>15</v>
      </c>
      <c r="F24" s="9" t="n">
        <v>5</v>
      </c>
      <c r="G24" s="7" t="s">
        <v>16</v>
      </c>
      <c r="H24" s="7" t="s">
        <v>17</v>
      </c>
      <c r="I24" s="8"/>
      <c r="J24" s="7" t="s">
        <v>17</v>
      </c>
    </row>
    <row r="25" customFormat="false" ht="18" hidden="false" customHeight="true" outlineLevel="0" collapsed="false">
      <c r="A25" s="7" t="s">
        <v>65</v>
      </c>
      <c r="B25" s="8" t="s">
        <v>67</v>
      </c>
      <c r="C25" s="8" t="s">
        <v>27</v>
      </c>
      <c r="D25" s="7" t="s">
        <v>28</v>
      </c>
      <c r="E25" s="7" t="s">
        <v>15</v>
      </c>
      <c r="F25" s="9" t="n">
        <v>6.67</v>
      </c>
      <c r="G25" s="7" t="s">
        <v>16</v>
      </c>
      <c r="H25" s="7" t="s">
        <v>17</v>
      </c>
      <c r="I25" s="8"/>
      <c r="J25" s="7" t="s">
        <v>17</v>
      </c>
    </row>
    <row r="26" customFormat="false" ht="18" hidden="false" customHeight="true" outlineLevel="0" collapsed="false">
      <c r="A26" s="4" t="s">
        <v>68</v>
      </c>
      <c r="B26" s="5" t="s">
        <v>69</v>
      </c>
      <c r="C26" s="5" t="s">
        <v>13</v>
      </c>
      <c r="D26" s="4" t="s">
        <v>14</v>
      </c>
      <c r="E26" s="4" t="s">
        <v>15</v>
      </c>
      <c r="F26" s="6" t="n">
        <v>2</v>
      </c>
      <c r="G26" s="4" t="s">
        <v>16</v>
      </c>
      <c r="H26" s="4" t="s">
        <v>17</v>
      </c>
      <c r="I26" s="5" t="s">
        <v>45</v>
      </c>
      <c r="J26" s="4" t="s">
        <v>17</v>
      </c>
    </row>
    <row r="27" customFormat="false" ht="18" hidden="false" customHeight="true" outlineLevel="0" collapsed="false">
      <c r="A27" s="7" t="s">
        <v>70</v>
      </c>
      <c r="B27" s="8" t="s">
        <v>71</v>
      </c>
      <c r="C27" s="8" t="s">
        <v>27</v>
      </c>
      <c r="D27" s="7" t="s">
        <v>28</v>
      </c>
      <c r="E27" s="7" t="s">
        <v>15</v>
      </c>
      <c r="F27" s="9" t="n">
        <v>5.83</v>
      </c>
      <c r="G27" s="7" t="s">
        <v>16</v>
      </c>
      <c r="H27" s="7" t="s">
        <v>17</v>
      </c>
      <c r="I27" s="8"/>
      <c r="J27" s="7" t="s">
        <v>17</v>
      </c>
    </row>
    <row r="28" customFormat="false" ht="18" hidden="false" customHeight="true" outlineLevel="0" collapsed="false">
      <c r="A28" s="7" t="s">
        <v>70</v>
      </c>
      <c r="B28" s="8" t="s">
        <v>72</v>
      </c>
      <c r="C28" s="8" t="s">
        <v>27</v>
      </c>
      <c r="D28" s="7" t="s">
        <v>28</v>
      </c>
      <c r="E28" s="7" t="s">
        <v>15</v>
      </c>
      <c r="F28" s="9" t="n">
        <v>6.67</v>
      </c>
      <c r="G28" s="7" t="s">
        <v>16</v>
      </c>
      <c r="H28" s="7" t="s">
        <v>17</v>
      </c>
      <c r="I28" s="8"/>
      <c r="J28" s="7" t="s">
        <v>17</v>
      </c>
    </row>
    <row r="29" customFormat="false" ht="18" hidden="false" customHeight="true" outlineLevel="0" collapsed="false">
      <c r="A29" s="4" t="s">
        <v>73</v>
      </c>
      <c r="B29" s="5" t="s">
        <v>74</v>
      </c>
      <c r="C29" s="5" t="s">
        <v>13</v>
      </c>
      <c r="D29" s="4" t="s">
        <v>14</v>
      </c>
      <c r="E29" s="4" t="s">
        <v>15</v>
      </c>
      <c r="F29" s="6" t="n">
        <v>1</v>
      </c>
      <c r="G29" s="4" t="s">
        <v>16</v>
      </c>
      <c r="H29" s="4" t="s">
        <v>17</v>
      </c>
      <c r="I29" s="5" t="s">
        <v>45</v>
      </c>
      <c r="J29" s="4" t="s">
        <v>17</v>
      </c>
    </row>
    <row r="30" customFormat="false" ht="18" hidden="false" customHeight="true" outlineLevel="0" collapsed="false">
      <c r="A30" s="4" t="s">
        <v>75</v>
      </c>
      <c r="B30" s="5" t="s">
        <v>76</v>
      </c>
      <c r="C30" s="5" t="s">
        <v>13</v>
      </c>
      <c r="D30" s="4" t="s">
        <v>14</v>
      </c>
      <c r="E30" s="4" t="s">
        <v>15</v>
      </c>
      <c r="F30" s="6" t="n">
        <v>1</v>
      </c>
      <c r="G30" s="4" t="s">
        <v>16</v>
      </c>
      <c r="H30" s="4" t="s">
        <v>17</v>
      </c>
      <c r="I30" s="5" t="s">
        <v>45</v>
      </c>
      <c r="J30" s="4" t="s">
        <v>17</v>
      </c>
    </row>
    <row r="31" customFormat="false" ht="18" hidden="false" customHeight="true" outlineLevel="0" collapsed="false">
      <c r="A31" s="7" t="s">
        <v>77</v>
      </c>
      <c r="B31" s="8" t="s">
        <v>78</v>
      </c>
      <c r="C31" s="8" t="s">
        <v>27</v>
      </c>
      <c r="D31" s="7" t="s">
        <v>28</v>
      </c>
      <c r="E31" s="7" t="s">
        <v>15</v>
      </c>
      <c r="F31" s="9" t="n">
        <v>5</v>
      </c>
      <c r="G31" s="7" t="s">
        <v>16</v>
      </c>
      <c r="H31" s="7" t="s">
        <v>17</v>
      </c>
      <c r="I31" s="8"/>
      <c r="J31" s="7" t="s">
        <v>17</v>
      </c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36" hidden="false" customHeight="true" outlineLevel="0" collapsed="false">
      <c r="B1" s="11" t="s">
        <v>79</v>
      </c>
      <c r="C1" s="11"/>
      <c r="D1" s="11"/>
      <c r="E1" s="11"/>
    </row>
    <row r="2" customFormat="false" ht="19.5" hidden="false" customHeight="true" outlineLevel="0" collapsed="false">
      <c r="B2" s="12" t="s">
        <v>80</v>
      </c>
      <c r="C2" s="12"/>
      <c r="D2" s="12"/>
      <c r="E2" s="12"/>
    </row>
    <row r="3" customFormat="false" ht="9.75" hidden="false" customHeight="true" outlineLevel="0" collapsed="false"/>
    <row r="4" customFormat="false" ht="21.75" hidden="false" customHeight="true" outlineLevel="0" collapsed="false">
      <c r="B4" s="13" t="s">
        <v>81</v>
      </c>
      <c r="C4" s="13" t="s">
        <v>82</v>
      </c>
      <c r="D4" s="13" t="s">
        <v>83</v>
      </c>
      <c r="E4" s="13" t="s">
        <v>84</v>
      </c>
    </row>
    <row r="5" customFormat="false" ht="21.75" hidden="false" customHeight="true" outlineLevel="0" collapsed="false">
      <c r="B5" s="14" t="s">
        <v>85</v>
      </c>
      <c r="C5" s="14"/>
      <c r="D5" s="14"/>
      <c r="E5" s="14"/>
    </row>
    <row r="6" customFormat="false" ht="24" hidden="false" customHeight="true" outlineLevel="0" collapsed="false">
      <c r="B6" s="15" t="s">
        <v>86</v>
      </c>
      <c r="C6" s="16" t="n">
        <f aca="false">SUMIF('CPD Log'!H3:H105,"Y",'CPD Log'!F3:F105)</f>
        <v>84</v>
      </c>
      <c r="D6" s="17" t="s">
        <v>87</v>
      </c>
      <c r="E6" s="7" t="str">
        <f aca="false">IF(C6&gt;=80,"✓ On Track","⚠ Needs More")</f>
        <v>✓ On Track</v>
      </c>
    </row>
    <row r="7" customFormat="false" ht="24" hidden="false" customHeight="true" outlineLevel="0" collapsed="false">
      <c r="B7" s="15" t="s">
        <v>88</v>
      </c>
      <c r="C7" s="16" t="n">
        <f aca="false">SUMIF('CPD Log'!D3:D105,"Guided",'CPD Log'!F3:F105)</f>
        <v>34</v>
      </c>
      <c r="D7" s="17" t="s">
        <v>89</v>
      </c>
      <c r="E7" s="7" t="str">
        <f aca="false">IF(C7&gt;=30,"✓ On Track","⚠ Needs More")</f>
        <v>✓ On Track</v>
      </c>
    </row>
    <row r="8" customFormat="false" ht="24" hidden="false" customHeight="true" outlineLevel="0" collapsed="false">
      <c r="B8" s="15" t="s">
        <v>90</v>
      </c>
      <c r="C8" s="16" t="n">
        <f aca="false">SUMIF('CPD Log'!D3:D105,"Self-Study",'CPD Log'!F3:F105)</f>
        <v>50</v>
      </c>
      <c r="D8" s="17" t="s">
        <v>91</v>
      </c>
      <c r="E8" s="17" t="s">
        <v>92</v>
      </c>
    </row>
    <row r="9" customFormat="false" ht="24" hidden="false" customHeight="true" outlineLevel="0" collapsed="false">
      <c r="B9" s="15" t="s">
        <v>93</v>
      </c>
      <c r="C9" s="16" t="n">
        <f aca="false">SUMIF('CPD Log'!G3:G105,"Y",'CPD Log'!F3:F105)</f>
        <v>0</v>
      </c>
      <c r="D9" s="17" t="s">
        <v>94</v>
      </c>
      <c r="E9" s="17" t="s">
        <v>92</v>
      </c>
    </row>
    <row r="10" customFormat="false" ht="9.75" hidden="false" customHeight="true" outlineLevel="0" collapsed="false"/>
    <row r="11" customFormat="false" ht="21.75" hidden="false" customHeight="true" outlineLevel="0" collapsed="false">
      <c r="B11" s="14" t="s">
        <v>95</v>
      </c>
      <c r="C11" s="14"/>
      <c r="D11" s="14"/>
      <c r="E11" s="14"/>
    </row>
    <row r="12" customFormat="false" ht="24" hidden="false" customHeight="true" outlineLevel="0" collapsed="false">
      <c r="B12" s="18" t="s">
        <v>96</v>
      </c>
      <c r="C12" s="16" t="n">
        <f aca="false">MAX(0,80-C6)</f>
        <v>0</v>
      </c>
      <c r="D12" s="17" t="s">
        <v>97</v>
      </c>
      <c r="E12" s="7" t="str">
        <f aca="false">IF(C12&lt;=0,"✓ Done!","⚠ " &amp; TEXT(C12,"0.0") &amp; " hrs left")</f>
        <v>✓ Done!</v>
      </c>
    </row>
    <row r="13" customFormat="false" ht="24" hidden="false" customHeight="true" outlineLevel="0" collapsed="false">
      <c r="B13" s="18" t="s">
        <v>98</v>
      </c>
      <c r="C13" s="16" t="n">
        <f aca="false">MAX(0,30-C7)</f>
        <v>0</v>
      </c>
      <c r="D13" s="17" t="s">
        <v>99</v>
      </c>
      <c r="E13" s="7" t="str">
        <f aca="false">IF(C13&lt;=0,"✓ Done!","⚠ " &amp; TEXT(C13,"0.0") &amp; " hrs left")</f>
        <v>✓ Done!</v>
      </c>
    </row>
    <row r="14" customFormat="false" ht="9.75" hidden="false" customHeight="true" outlineLevel="0" collapsed="false"/>
    <row r="15" customFormat="false" ht="21.75" hidden="false" customHeight="true" outlineLevel="0" collapsed="false">
      <c r="B15" s="14" t="s">
        <v>100</v>
      </c>
      <c r="C15" s="14"/>
      <c r="D15" s="14"/>
      <c r="E15" s="14"/>
    </row>
    <row r="16" customFormat="false" ht="21.75" hidden="false" customHeight="true" outlineLevel="0" collapsed="false">
      <c r="B16" s="19" t="s">
        <v>101</v>
      </c>
      <c r="C16" s="19"/>
      <c r="D16" s="19"/>
      <c r="E16" s="19"/>
    </row>
    <row r="17" customFormat="false" ht="9.75" hidden="false" customHeight="true" outlineLevel="0" collapsed="false"/>
    <row r="18" customFormat="false" ht="21.75" hidden="false" customHeight="true" outlineLevel="0" collapsed="false">
      <c r="B18" s="14" t="s">
        <v>102</v>
      </c>
      <c r="C18" s="14"/>
      <c r="D18" s="14"/>
      <c r="E18" s="14"/>
    </row>
    <row r="19" customFormat="false" ht="19.5" hidden="false" customHeight="true" outlineLevel="0" collapsed="false">
      <c r="B19" s="20" t="s">
        <v>103</v>
      </c>
      <c r="C19" s="20"/>
      <c r="D19" s="20"/>
      <c r="E19" s="20"/>
    </row>
  </sheetData>
  <mergeCells count="8">
    <mergeCell ref="B1:E1"/>
    <mergeCell ref="B2:E2"/>
    <mergeCell ref="B5:E5"/>
    <mergeCell ref="B11:E11"/>
    <mergeCell ref="B15:E15"/>
    <mergeCell ref="B16:E16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0"/>
    <col collapsed="false" customWidth="true" hidden="false" outlineLevel="0" max="4" min="4" style="1" width="3"/>
  </cols>
  <sheetData>
    <row r="1" customFormat="false" ht="30" hidden="false" customHeight="true" outlineLevel="0" collapsed="false">
      <c r="B1" s="2" t="s">
        <v>104</v>
      </c>
      <c r="C1" s="2"/>
    </row>
    <row r="2" customFormat="false" ht="19.5" hidden="false" customHeight="true" outlineLevel="0" collapsed="false">
      <c r="B2" s="21" t="s">
        <v>105</v>
      </c>
      <c r="C2" s="21" t="s">
        <v>106</v>
      </c>
    </row>
    <row r="3" customFormat="false" ht="19.5" hidden="false" customHeight="true" outlineLevel="0" collapsed="false">
      <c r="B3" s="22" t="s">
        <v>107</v>
      </c>
      <c r="C3" s="23" t="s">
        <v>108</v>
      </c>
    </row>
    <row r="4" customFormat="false" ht="19.5" hidden="false" customHeight="true" outlineLevel="0" collapsed="false">
      <c r="B4" s="22" t="s">
        <v>109</v>
      </c>
      <c r="C4" s="23" t="s">
        <v>110</v>
      </c>
    </row>
    <row r="5" customFormat="false" ht="19.5" hidden="false" customHeight="true" outlineLevel="0" collapsed="false">
      <c r="B5" s="22" t="s">
        <v>28</v>
      </c>
      <c r="C5" s="23" t="s">
        <v>111</v>
      </c>
    </row>
    <row r="6" customFormat="false" ht="19.5" hidden="false" customHeight="true" outlineLevel="0" collapsed="false">
      <c r="B6" s="22" t="s">
        <v>112</v>
      </c>
      <c r="C6" s="23" t="s">
        <v>113</v>
      </c>
    </row>
    <row r="7" customFormat="false" ht="19.5" hidden="false" customHeight="true" outlineLevel="0" collapsed="false">
      <c r="B7" s="22" t="s">
        <v>114</v>
      </c>
      <c r="C7" s="23" t="s">
        <v>115</v>
      </c>
    </row>
    <row r="8" customFormat="false" ht="19.5" hidden="false" customHeight="true" outlineLevel="0" collapsed="false">
      <c r="B8" s="22" t="s">
        <v>116</v>
      </c>
      <c r="C8" s="23" t="s">
        <v>117</v>
      </c>
    </row>
    <row r="9" customFormat="false" ht="19.5" hidden="false" customHeight="true" outlineLevel="0" collapsed="false">
      <c r="B9" s="22" t="s">
        <v>118</v>
      </c>
      <c r="C9" s="23" t="s">
        <v>119</v>
      </c>
    </row>
    <row r="10" customFormat="false" ht="19.5" hidden="false" customHeight="true" outlineLevel="0" collapsed="false"/>
    <row r="11" customFormat="false" ht="19.5" hidden="false" customHeight="true" outlineLevel="0" collapsed="false">
      <c r="B11" s="21" t="s">
        <v>120</v>
      </c>
      <c r="C11" s="21" t="s">
        <v>121</v>
      </c>
    </row>
    <row r="12" customFormat="false" ht="19.5" hidden="false" customHeight="true" outlineLevel="0" collapsed="false">
      <c r="B12" s="22" t="s">
        <v>122</v>
      </c>
      <c r="C12" s="23" t="s">
        <v>123</v>
      </c>
    </row>
    <row r="13" customFormat="false" ht="19.5" hidden="false" customHeight="true" outlineLevel="0" collapsed="false">
      <c r="B13" s="22" t="s">
        <v>124</v>
      </c>
      <c r="C13" s="23" t="s">
        <v>125</v>
      </c>
    </row>
    <row r="14" customFormat="false" ht="19.5" hidden="false" customHeight="true" outlineLevel="0" collapsed="false">
      <c r="B14" s="22" t="s">
        <v>126</v>
      </c>
      <c r="C14" s="23" t="s">
        <v>127</v>
      </c>
    </row>
    <row r="15" customFormat="false" ht="19.5" hidden="false" customHeight="true" outlineLevel="0" collapsed="false">
      <c r="B15" s="22" t="s">
        <v>128</v>
      </c>
      <c r="C15" s="23" t="s">
        <v>129</v>
      </c>
    </row>
    <row r="16" customFormat="false" ht="19.5" hidden="false" customHeight="true" outlineLevel="0" collapsed="false"/>
    <row r="17" customFormat="false" ht="19.5" hidden="false" customHeight="true" outlineLevel="0" collapsed="false">
      <c r="B17" s="21" t="s">
        <v>130</v>
      </c>
      <c r="C17" s="21" t="s">
        <v>121</v>
      </c>
    </row>
    <row r="18" customFormat="false" ht="19.5" hidden="false" customHeight="true" outlineLevel="0" collapsed="false">
      <c r="B18" s="22" t="s">
        <v>131</v>
      </c>
      <c r="C18" s="23" t="s">
        <v>132</v>
      </c>
    </row>
    <row r="19" customFormat="false" ht="19.5" hidden="false" customHeight="true" outlineLevel="0" collapsed="false">
      <c r="B19" s="22" t="s">
        <v>133</v>
      </c>
      <c r="C19" s="23" t="s">
        <v>134</v>
      </c>
    </row>
    <row r="20" customFormat="false" ht="19.5" hidden="false" customHeight="true" outlineLevel="0" collapsed="false">
      <c r="B20" s="22" t="s">
        <v>135</v>
      </c>
      <c r="C20" s="23" t="s">
        <v>136</v>
      </c>
    </row>
    <row r="21" customFormat="false" ht="19.5" hidden="false" customHeight="true" outlineLevel="0" collapsed="false">
      <c r="B21" s="22" t="s">
        <v>137</v>
      </c>
      <c r="C21" s="23" t="s">
        <v>138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2026-06-19T01:02:19Z</dcterms:created>
  <dc:creator>openpyxl</dc:creator>
  <dc:description/>
  <dc:language>en-US</dc:language>
  <cp:lastModifiedBy/>
  <dcterms:modified xsi:type="dcterms:W3CDTF">2026-06-19T01:04:53Z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